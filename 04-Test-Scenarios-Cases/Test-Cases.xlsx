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</sheets>
  <definedNames>
    <definedName function="false" hidden="true" localSheetId="0" name="_xlnm._FilterDatabase" vbProcedure="false">'Test Cases'!$A$1:$K$102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<sst xmlns="http://schemas.openxmlformats.org/spreadsheetml/2006/main" count="1138" uniqueCount="656">
  <si>
    <t xml:space="preserve">TC ID</t>
  </si>
  <si>
    <t xml:space="preserve">Scenario ID</t>
  </si>
  <si>
    <t xml:space="preserve">Module</t>
  </si>
  <si>
    <t xml:space="preserve">Test Case Title</t>
  </si>
  <si>
    <t xml:space="preserve">Preconditions</t>
  </si>
  <si>
    <t xml:space="preserve">Test Steps</t>
  </si>
  <si>
    <t xml:space="preserve">Test Data</t>
  </si>
  <si>
    <t xml:space="preserve">Expected Result</t>
  </si>
  <si>
    <t xml:space="preserve">Priority</t>
  </si>
  <si>
    <t xml:space="preserve">Test Type</t>
  </si>
  <si>
    <t xml:space="preserve">Status</t>
  </si>
  <si>
    <t xml:space="preserve">TC-001</t>
  </si>
  <si>
    <t xml:space="preserve">TS-01</t>
  </si>
  <si>
    <t xml:space="preserve">Authentication</t>
  </si>
  <si>
    <t xml:space="preserve">Login succeeds for Pharmacist with valid credentials</t>
  </si>
  <si>
    <t xml:space="preserve">User account exists with role=Pharmacist</t>
  </si>
  <si>
    <t xml:space="preserve">1. Navigate to login page 2. Enter valid Pharmacist username/password 3. Click Login</t>
  </si>
  <si>
    <t xml:space="preserve">username: pharm_01 / valid password</t>
  </si>
  <si>
    <t xml:space="preserve">User is redirected to Pharmacist dashboard</t>
  </si>
  <si>
    <t xml:space="preserve">P1</t>
  </si>
  <si>
    <t xml:space="preserve">Positive</t>
  </si>
  <si>
    <t xml:space="preserve">Not Executed</t>
  </si>
  <si>
    <t xml:space="preserve">TC-002</t>
  </si>
  <si>
    <t xml:space="preserve">Login succeeds for Technician and Admin with valid credentials</t>
  </si>
  <si>
    <t xml:space="preserve">User accounts exist for Technician and Admin roles</t>
  </si>
  <si>
    <t xml:space="preserve">1. Repeat login steps for Technician account 2. Repeat login steps for Admin account</t>
  </si>
  <si>
    <t xml:space="preserve">tech_01 / valid password; admin_01 / valid password</t>
  </si>
  <si>
    <t xml:space="preserve">Each user redirected to their respective dashboard</t>
  </si>
  <si>
    <t xml:space="preserve">TC-003</t>
  </si>
  <si>
    <t xml:space="preserve">TS-02</t>
  </si>
  <si>
    <t xml:space="preserve">Login fails with incorrect password</t>
  </si>
  <si>
    <t xml:space="preserve">User account exists</t>
  </si>
  <si>
    <t xml:space="preserve">1. Navigate to login page 2. Enter valid username, incorrect password 3. Click Login</t>
  </si>
  <si>
    <t xml:space="preserve">username: pharm_01 / wrong password</t>
  </si>
  <si>
    <t xml:space="preserve">Login rejected with 'Invalid credentials' message, no session created</t>
  </si>
  <si>
    <t xml:space="preserve">Negative</t>
  </si>
  <si>
    <t xml:space="preserve">TC-004</t>
  </si>
  <si>
    <t xml:space="preserve">Login fails with non-existent username</t>
  </si>
  <si>
    <t xml:space="preserve">None</t>
  </si>
  <si>
    <t xml:space="preserve">1. Enter a username not present in system 2. Enter any password 3. Click Login</t>
  </si>
  <si>
    <t xml:space="preserve">username: ghost_user</t>
  </si>
  <si>
    <t xml:space="preserve">Login rejected with generic invalid-credentials message (no user-enumeration hint)</t>
  </si>
  <si>
    <t xml:space="preserve">P2</t>
  </si>
  <si>
    <t xml:space="preserve">TC-005</t>
  </si>
  <si>
    <t xml:space="preserve">TS-03</t>
  </si>
  <si>
    <t xml:space="preserve">Technician cannot access Admin-only user management screen</t>
  </si>
  <si>
    <t xml:space="preserve">Logged in as Technician</t>
  </si>
  <si>
    <t xml:space="preserve">1. Attempt to navigate directly to /admin/users URL while logged in as Technician</t>
  </si>
  <si>
    <t xml:space="preserve">Technician session</t>
  </si>
  <si>
    <t xml:space="preserve">Access denied (403) / redirected with 'not authorized' message</t>
  </si>
  <si>
    <t xml:space="preserve">TC-006</t>
  </si>
  <si>
    <t xml:space="preserve">TS-04</t>
  </si>
  <si>
    <t xml:space="preserve">Only Admin role can create a new user account</t>
  </si>
  <si>
    <t xml:space="preserve">Logged in as Admin</t>
  </si>
  <si>
    <t xml:space="preserve">1. Navigate to User Management 2. Click 'Create User' 3. Fill valid details 4. Submit</t>
  </si>
  <si>
    <t xml:space="preserve">New user: role=Technician</t>
  </si>
  <si>
    <t xml:space="preserve">New user account created successfully and appears in user list</t>
  </si>
  <si>
    <t xml:space="preserve">TC-007</t>
  </si>
  <si>
    <t xml:space="preserve">Non-Admin role cannot deactivate a user account</t>
  </si>
  <si>
    <t xml:space="preserve">Logged in as Pharmacist</t>
  </si>
  <si>
    <t xml:space="preserve">1. Attempt to call deactivate-user action directly (UI hidden, verify via API/URL)</t>
  </si>
  <si>
    <t xml:space="preserve">target user_id</t>
  </si>
  <si>
    <t xml:space="preserve">Action rejected, user remains active</t>
  </si>
  <si>
    <t xml:space="preserve">TC-008</t>
  </si>
  <si>
    <t xml:space="preserve">TS-05</t>
  </si>
  <si>
    <t xml:space="preserve">Order Intake</t>
  </si>
  <si>
    <t xml:space="preserve">Create new order with all valid mandatory fields</t>
  </si>
  <si>
    <t xml:space="preserve">1. Navigate to New Order 2. Enter patient info, medication, dosage, quantity 3. Submit</t>
  </si>
  <si>
    <t xml:space="preserve">Patient: John Doe; Med: Paracetamol 500mg; Qty: 2</t>
  </si>
  <si>
    <t xml:space="preserve">Order created with status 'Pending Verification'</t>
  </si>
  <si>
    <t xml:space="preserve">TC-009</t>
  </si>
  <si>
    <t xml:space="preserve">Create order with maximum allowed quantity</t>
  </si>
  <si>
    <t xml:space="preserve">1. Enter order with quantity at system-defined upper boundary</t>
  </si>
  <si>
    <t xml:space="preserve">Qty = max allowed (e.g., 999)</t>
  </si>
  <si>
    <t xml:space="preserve">Order accepted; no overflow/truncation error</t>
  </si>
  <si>
    <t xml:space="preserve">P3</t>
  </si>
  <si>
    <t xml:space="preserve">Boundary</t>
  </si>
  <si>
    <t xml:space="preserve">TC-010</t>
  </si>
  <si>
    <t xml:space="preserve">TS-06</t>
  </si>
  <si>
    <t xml:space="preserve">Order creation fails when patient name is missing</t>
  </si>
  <si>
    <t xml:space="preserve">1. Leave patient name blank 2. Fill remaining fields 3. Submit</t>
  </si>
  <si>
    <t xml:space="preserve">Patient name: (empty)</t>
  </si>
  <si>
    <t xml:space="preserve">Form submission blocked with validation message on patient name field</t>
  </si>
  <si>
    <t xml:space="preserve">TC-011</t>
  </si>
  <si>
    <t xml:space="preserve">Order creation fails when quantity is zero or negative</t>
  </si>
  <si>
    <t xml:space="preserve">1. Enter quantity = 0, then quantity = -1 2. Submit</t>
  </si>
  <si>
    <t xml:space="preserve">Qty: 0 / -1</t>
  </si>
  <si>
    <t xml:space="preserve">Validation error shown, order not created</t>
  </si>
  <si>
    <t xml:space="preserve">TC-012</t>
  </si>
  <si>
    <t xml:space="preserve">TS-07</t>
  </si>
  <si>
    <t xml:space="preserve">Duplicate order not created on double-click submit</t>
  </si>
  <si>
    <t xml:space="preserve">Logged in as Technician, on New Order form filled correctly</t>
  </si>
  <si>
    <t xml:space="preserve">1. Click Submit button twice in rapid succession</t>
  </si>
  <si>
    <t xml:space="preserve">Valid order data</t>
  </si>
  <si>
    <t xml:space="preserve">Only one order record is created in the system</t>
  </si>
  <si>
    <t xml:space="preserve">TC-013</t>
  </si>
  <si>
    <t xml:space="preserve">Duplicate order not created on network retry of same request</t>
  </si>
  <si>
    <t xml:space="preserve">Simulated network retry of POST /api/orders</t>
  </si>
  <si>
    <t xml:space="preserve">1. Send identical POST /api/orders request twice with same idempotency context</t>
  </si>
  <si>
    <t xml:space="preserve">Same payload sent twice</t>
  </si>
  <si>
    <t xml:space="preserve">Second request does not create a second order record</t>
  </si>
  <si>
    <t xml:space="preserve">TC-014</t>
  </si>
  <si>
    <t xml:space="preserve">TS-08</t>
  </si>
  <si>
    <t xml:space="preserve">Order can be edited while still in Pending Verification status</t>
  </si>
  <si>
    <t xml:space="preserve">Order exists with status Pending Verification</t>
  </si>
  <si>
    <t xml:space="preserve">1. Open the order 2. Modify quantity 3. Save</t>
  </si>
  <si>
    <t xml:space="preserve">Change qty from 2 to 3</t>
  </si>
  <si>
    <t xml:space="preserve">Order updated successfully, change reflected in order details</t>
  </si>
  <si>
    <t xml:space="preserve">TC-015</t>
  </si>
  <si>
    <t xml:space="preserve">Order cannot be edited after it has been verified</t>
  </si>
  <si>
    <t xml:space="preserve">Order exists with status Verified</t>
  </si>
  <si>
    <t xml:space="preserve">1. Attempt to open Edit on a Verified order</t>
  </si>
  <si>
    <t xml:space="preserve">Verified order</t>
  </si>
  <si>
    <t xml:space="preserve">Edit option disabled/blocked, system prevents modification</t>
  </si>
  <si>
    <t xml:space="preserve">TC-016</t>
  </si>
  <si>
    <t xml:space="preserve">TS-09</t>
  </si>
  <si>
    <t xml:space="preserve">Order Verification</t>
  </si>
  <si>
    <t xml:space="preserve">Pharmacist approves a valid pending order</t>
  </si>
  <si>
    <t xml:space="preserve">Order exists with status Pending Verification, logged in as Pharmacist</t>
  </si>
  <si>
    <t xml:space="preserve">1. Open order 2. Review details 3. Click Approve</t>
  </si>
  <si>
    <t xml:space="preserve">Valid pending order</t>
  </si>
  <si>
    <t xml:space="preserve">Order status changes to 'Verified'</t>
  </si>
  <si>
    <t xml:space="preserve">TC-017</t>
  </si>
  <si>
    <t xml:space="preserve">Approved order becomes eligible for dispensing</t>
  </si>
  <si>
    <t xml:space="preserve">Order just approved by Pharmacist</t>
  </si>
  <si>
    <t xml:space="preserve">1. Navigate to Dispensing queue 2. Confirm order appears</t>
  </si>
  <si>
    <t xml:space="preserve">Order ID from previous step</t>
  </si>
  <si>
    <t xml:space="preserve">Order appears in Dispensing queue</t>
  </si>
  <si>
    <t xml:space="preserve">TC-018</t>
  </si>
  <si>
    <t xml:space="preserve">TS-10</t>
  </si>
  <si>
    <t xml:space="preserve">Pharmacist rejects an order with a reason</t>
  </si>
  <si>
    <t xml:space="preserve">1. Open order 2. Click Reject 3. Enter rejection reason 4. Submit</t>
  </si>
  <si>
    <t xml:space="preserve">Reason: 'Incorrect dosage'</t>
  </si>
  <si>
    <t xml:space="preserve">Order status changes to 'Rejected', reason stored and visible</t>
  </si>
  <si>
    <t xml:space="preserve">TC-019</t>
  </si>
  <si>
    <t xml:space="preserve">Rejection fails without a reason provided</t>
  </si>
  <si>
    <t xml:space="preserve">1. Click Reject 2. Leave reason blank 3. Submit</t>
  </si>
  <si>
    <t xml:space="preserve">Reason: (empty)</t>
  </si>
  <si>
    <t xml:space="preserve">Validation error shown, rejection not processed</t>
  </si>
  <si>
    <t xml:space="preserve">TC-020</t>
  </si>
  <si>
    <t xml:space="preserve">TS-11</t>
  </si>
  <si>
    <t xml:space="preserve">Technician who created the order cannot approve it themselves</t>
  </si>
  <si>
    <t xml:space="preserve">Order created by Technician tech_01, logged in as tech_01</t>
  </si>
  <si>
    <t xml:space="preserve">1. Attempt to access Approve action on own created order</t>
  </si>
  <si>
    <t xml:space="preserve">Own order</t>
  </si>
  <si>
    <t xml:space="preserve">Approve action unavailable/blocked for the creator</t>
  </si>
  <si>
    <t xml:space="preserve">TC-021</t>
  </si>
  <si>
    <t xml:space="preserve">TS-12</t>
  </si>
  <si>
    <t xml:space="preserve">Order status correctly reflects 'Verified' after approval in DB and UI</t>
  </si>
  <si>
    <t xml:space="preserve">Order approved by Pharmacist</t>
  </si>
  <si>
    <t xml:space="preserve">1. Approve order 2. Query orders table 3. Check UI status label</t>
  </si>
  <si>
    <t xml:space="preserve">Order ID</t>
  </si>
  <si>
    <t xml:space="preserve">DB status = 'Verified', UI label matches exactly</t>
  </si>
  <si>
    <t xml:space="preserve">TC-022</t>
  </si>
  <si>
    <t xml:space="preserve">TS-13</t>
  </si>
  <si>
    <t xml:space="preserve">Inventory Management</t>
  </si>
  <si>
    <t xml:space="preserve">Stock decreases by correct quantity after successful dispensing</t>
  </si>
  <si>
    <t xml:space="preserve">Order Verified, sufficient stock available</t>
  </si>
  <si>
    <t xml:space="preserve">1. Note current stock 2. Dispense order for qty 2 3. Re-check stock</t>
  </si>
  <si>
    <t xml:space="preserve">Initial stock 50, order qty 2</t>
  </si>
  <si>
    <t xml:space="preserve">Stock reduces to 48 exactly</t>
  </si>
  <si>
    <t xml:space="preserve">TC-023</t>
  </si>
  <si>
    <t xml:space="preserve">TS-14</t>
  </si>
  <si>
    <t xml:space="preserve">Dispensing blocked when stock is less than order quantity</t>
  </si>
  <si>
    <t xml:space="preserve">Stock = 1, order qty = 5</t>
  </si>
  <si>
    <t xml:space="preserve">1. Attempt to dispense order requiring 5 units with only 1 in stock</t>
  </si>
  <si>
    <t xml:space="preserve">Stock: 1, Order qty: 5</t>
  </si>
  <si>
    <t xml:space="preserve">Dispensing blocked with 'Insufficient stock' error, no partial dispense</t>
  </si>
  <si>
    <t xml:space="preserve">TC-024</t>
  </si>
  <si>
    <t xml:space="preserve">TS-15</t>
  </si>
  <si>
    <t xml:space="preserve">Dispensing blocked when stock is exactly zero</t>
  </si>
  <si>
    <t xml:space="preserve">Stock = 0 for the medication</t>
  </si>
  <si>
    <t xml:space="preserve">1. Attempt to dispense any quantity of the medication</t>
  </si>
  <si>
    <t xml:space="preserve">Stock: 0</t>
  </si>
  <si>
    <t xml:space="preserve">Dispensing blocked, medication shown as Out of Stock</t>
  </si>
  <si>
    <t xml:space="preserve">TC-025</t>
  </si>
  <si>
    <t xml:space="preserve">Dispensing succeeds when stock exactly equals order quantity</t>
  </si>
  <si>
    <t xml:space="preserve">Stock = 2, order qty = 2</t>
  </si>
  <si>
    <t xml:space="preserve">1. Dispense order requiring exactly the available stock</t>
  </si>
  <si>
    <t xml:space="preserve">Stock: 2, Order qty: 2</t>
  </si>
  <si>
    <t xml:space="preserve">Dispensing succeeds, stock becomes 0</t>
  </si>
  <si>
    <t xml:space="preserve">TC-026</t>
  </si>
  <si>
    <t xml:space="preserve">TS-16</t>
  </si>
  <si>
    <t xml:space="preserve">Low-stock alert triggers when stock crosses defined threshold</t>
  </si>
  <si>
    <t xml:space="preserve">Low-stock threshold = 10 units</t>
  </si>
  <si>
    <t xml:space="preserve">1. Reduce stock to threshold value via dispensing 2. Check dashboard/alerts</t>
  </si>
  <si>
    <t xml:space="preserve">Stock reduced to 10</t>
  </si>
  <si>
    <t xml:space="preserve">Low-stock alert appears for that medication</t>
  </si>
  <si>
    <t xml:space="preserve">TC-027</t>
  </si>
  <si>
    <t xml:space="preserve">No low-stock alert when stock is above threshold</t>
  </si>
  <si>
    <t xml:space="preserve">Stock = 50, threshold = 10</t>
  </si>
  <si>
    <t xml:space="preserve">1. Check dashboard with stock well above threshold</t>
  </si>
  <si>
    <t xml:space="preserve">Stock: 50</t>
  </si>
  <si>
    <t xml:space="preserve">No low-stock alert shown</t>
  </si>
  <si>
    <t xml:space="preserve">TC-028</t>
  </si>
  <si>
    <t xml:space="preserve">TS-17</t>
  </si>
  <si>
    <t xml:space="preserve">Dispensing blocked for medication past expiry date</t>
  </si>
  <si>
    <t xml:space="preserve">Medication batch expiry date is in the past</t>
  </si>
  <si>
    <t xml:space="preserve">1. Attempt to dispense from an expired batch</t>
  </si>
  <si>
    <t xml:space="preserve">Expiry date: yesterday's date</t>
  </si>
  <si>
    <t xml:space="preserve">Dispensing blocked with 'Medication expired' error</t>
  </si>
  <si>
    <t xml:space="preserve">TC-029</t>
  </si>
  <si>
    <t xml:space="preserve">TS-18</t>
  </si>
  <si>
    <t xml:space="preserve">Medication expiring exactly today is handled per business rule</t>
  </si>
  <si>
    <t xml:space="preserve">Medication batch expiry date = current date</t>
  </si>
  <si>
    <t xml:space="preserve">1. Attempt to dispense from a batch expiring today</t>
  </si>
  <si>
    <t xml:space="preserve">Expiry date: today</t>
  </si>
  <si>
    <t xml:space="preserve">System applies documented rule consistently (block or allow per spec) — verify against SRS and flag if undocumented</t>
  </si>
  <si>
    <t xml:space="preserve">TC-030</t>
  </si>
  <si>
    <t xml:space="preserve">TS-19</t>
  </si>
  <si>
    <t xml:space="preserve">Dispensing</t>
  </si>
  <si>
    <t xml:space="preserve">Dispensing blocked for order that has not been verified</t>
  </si>
  <si>
    <t xml:space="preserve">Order status = Pending Verification</t>
  </si>
  <si>
    <t xml:space="preserve">1. Attempt to trigger Dispense action on an unverified order</t>
  </si>
  <si>
    <t xml:space="preserve">Unverified order</t>
  </si>
  <si>
    <t xml:space="preserve">Dispense action blocked/unavailable</t>
  </si>
  <si>
    <t xml:space="preserve">TC-031</t>
  </si>
  <si>
    <t xml:space="preserve">Dispensing succeeds immediately after verification with sufficient stock</t>
  </si>
  <si>
    <t xml:space="preserve">Order Verified, stock sufficient</t>
  </si>
  <si>
    <t xml:space="preserve">1. Dispense the order right after verification</t>
  </si>
  <si>
    <t xml:space="preserve">Verified order, stock available</t>
  </si>
  <si>
    <t xml:space="preserve">Dispensing proceeds successfully to next step (vision check)</t>
  </si>
  <si>
    <t xml:space="preserve">TC-032</t>
  </si>
  <si>
    <t xml:space="preserve">TS-20</t>
  </si>
  <si>
    <t xml:space="preserve">Dispensing log records correct user and timestamp</t>
  </si>
  <si>
    <t xml:space="preserve">Order dispensed by Technician tech_01</t>
  </si>
  <si>
    <t xml:space="preserve">1. Dispense order 2. Check dispensing_log table</t>
  </si>
  <si>
    <t xml:space="preserve">Log entry shows correct dispensed_by and dispensed_at values</t>
  </si>
  <si>
    <t xml:space="preserve">TC-033</t>
  </si>
  <si>
    <t xml:space="preserve">TS-21</t>
  </si>
  <si>
    <t xml:space="preserve">Inventory deduction and dispensing log entry occur atomically</t>
  </si>
  <si>
    <t xml:space="preserve">Order ready to dispense</t>
  </si>
  <si>
    <t xml:space="preserve">1. Simulate interruption mid-dispense (e.g., API failure after stock deduction) 2. Check consistency</t>
  </si>
  <si>
    <t xml:space="preserve">Simulated failure mid-transaction</t>
  </si>
  <si>
    <t xml:space="preserve">Either both stock deduction and log entry are committed, or neither is (no partial state)</t>
  </si>
  <si>
    <t xml:space="preserve">TC-034</t>
  </si>
  <si>
    <t xml:space="preserve">TS-22</t>
  </si>
  <si>
    <t xml:space="preserve">AI Vision Verification</t>
  </si>
  <si>
    <t xml:space="preserve">System prompts for pack image capture immediately after dispensing</t>
  </si>
  <si>
    <t xml:space="preserve">Order just dispensed</t>
  </si>
  <si>
    <t xml:space="preserve">1. Complete dispensing action 2. Observe next screen/prompt</t>
  </si>
  <si>
    <t xml:space="preserve">Dispensed order</t>
  </si>
  <si>
    <t xml:space="preserve">System presents image capture/upload step before order can complete</t>
  </si>
  <si>
    <t xml:space="preserve">TC-035</t>
  </si>
  <si>
    <t xml:space="preserve">TS-23</t>
  </si>
  <si>
    <t xml:space="preserve">Order marked Verified when pack image matches prescribed medication</t>
  </si>
  <si>
    <t xml:space="preserve">Pack image available showing correct medication</t>
  </si>
  <si>
    <t xml:space="preserve">1. Submit matching pack image via vision-check endpoint</t>
  </si>
  <si>
    <t xml:space="preserve">Image: correct medication pack</t>
  </si>
  <si>
    <t xml:space="preserve">Order status = 'Verified', match_status = true in vision_verification_log</t>
  </si>
  <si>
    <t xml:space="preserve">TC-036</t>
  </si>
  <si>
    <t xml:space="preserve">TS-24</t>
  </si>
  <si>
    <t xml:space="preserve">Order marked Rejected when pack image shows wrong medication</t>
  </si>
  <si>
    <t xml:space="preserve">Pack image shows a different medication than prescribed</t>
  </si>
  <si>
    <t xml:space="preserve">1. Submit mismatched pack image via vision-check endpoint</t>
  </si>
  <si>
    <t xml:space="preserve">Image: wrong medication pack</t>
  </si>
  <si>
    <t xml:space="preserve">Order status = 'Rejected', match_status = false</t>
  </si>
  <si>
    <t xml:space="preserve">TC-037</t>
  </si>
  <si>
    <t xml:space="preserve">Order marked Rejected when pack image is missing a prescribed item</t>
  </si>
  <si>
    <t xml:space="preserve">Order includes 2 medications, pack image shows only 1</t>
  </si>
  <si>
    <t xml:space="preserve">1. Submit pack image with one medication missing</t>
  </si>
  <si>
    <t xml:space="preserve">Image: 1 of 2 medications present</t>
  </si>
  <si>
    <t xml:space="preserve">Order status = 'Rejected'</t>
  </si>
  <si>
    <t xml:space="preserve">TC-038</t>
  </si>
  <si>
    <t xml:space="preserve">TS-25</t>
  </si>
  <si>
    <t xml:space="preserve">Order flagged 'Dispensing Error — Under Review' after vision Rejected result</t>
  </si>
  <si>
    <t xml:space="preserve">Vision check returned Rejected</t>
  </si>
  <si>
    <t xml:space="preserve">1. Confirm order status after rejection 2. Check it appears in review queue</t>
  </si>
  <si>
    <t xml:space="preserve">Rejected vision result</t>
  </si>
  <si>
    <t xml:space="preserve">Order status = 'Dispensing Error — Under Review', visible in review queue</t>
  </si>
  <si>
    <t xml:space="preserve">TC-039</t>
  </si>
  <si>
    <t xml:space="preserve">Order under review cannot silently transition back to Complete</t>
  </si>
  <si>
    <t xml:space="preserve">Order in 'Dispensing Error — Under Review' status</t>
  </si>
  <si>
    <t xml:space="preserve">1. Attempt to move order to Complete without manual resolution</t>
  </si>
  <si>
    <t xml:space="preserve">Order under review</t>
  </si>
  <si>
    <t xml:space="preserve">System blocks transition until manual resolution action is taken</t>
  </si>
  <si>
    <t xml:space="preserve">TC-040</t>
  </si>
  <si>
    <t xml:space="preserve">TS-26</t>
  </si>
  <si>
    <t xml:space="preserve">Confidence score exactly at threshold is treated as Rejected</t>
  </si>
  <si>
    <t xml:space="preserve">Vision confidence threshold = 85%</t>
  </si>
  <si>
    <t xml:space="preserve">1. Submit image producing confidence score of exactly 85%</t>
  </si>
  <si>
    <t xml:space="preserve">Confidence: 85% (boundary)</t>
  </si>
  <si>
    <t xml:space="preserve">Verify documented behavior at exact boundary matches SRS rule; flag if ambiguous</t>
  </si>
  <si>
    <t xml:space="preserve">TC-041</t>
  </si>
  <si>
    <t xml:space="preserve">Confidence score below threshold is treated as Rejected, not silently passed</t>
  </si>
  <si>
    <t xml:space="preserve">1. Submit image producing confidence score of 60%</t>
  </si>
  <si>
    <t xml:space="preserve">Confidence: 60%</t>
  </si>
  <si>
    <t xml:space="preserve">Order marked Rejected despite any partial visual match</t>
  </si>
  <si>
    <t xml:space="preserve">TC-042</t>
  </si>
  <si>
    <t xml:space="preserve">TS-27</t>
  </si>
  <si>
    <t xml:space="preserve">Order cannot be marked Complete before vision verification finishes</t>
  </si>
  <si>
    <t xml:space="preserve">Vision check in progress (async)</t>
  </si>
  <si>
    <t xml:space="preserve">1. Attempt to manually mark order Complete while vision result is pending</t>
  </si>
  <si>
    <t xml:space="preserve">Vision result: pending</t>
  </si>
  <si>
    <t xml:space="preserve">Action blocked, order remains in 'Awaiting Verification' state</t>
  </si>
  <si>
    <t xml:space="preserve">TC-043</t>
  </si>
  <si>
    <t xml:space="preserve">TS-28</t>
  </si>
  <si>
    <t xml:space="preserve">System handles vision-check API timeout gracefully</t>
  </si>
  <si>
    <t xml:space="preserve">Vision-check API simulated to not respond within timeout window</t>
  </si>
  <si>
    <t xml:space="preserve">1. Trigger vision check 2. Simulate timeout</t>
  </si>
  <si>
    <t xml:space="preserve">Simulated timeout</t>
  </si>
  <si>
    <t xml:space="preserve">Order does not silently pass; flagged for retry/manual review with clear error state</t>
  </si>
  <si>
    <t xml:space="preserve">TC-044</t>
  </si>
  <si>
    <t xml:space="preserve">System handles vision-check API failure (5xx response)</t>
  </si>
  <si>
    <t xml:space="preserve">Vision-check API simulated to return 500 error</t>
  </si>
  <si>
    <t xml:space="preserve">1. Trigger vision check 2. Simulate 5xx response</t>
  </si>
  <si>
    <t xml:space="preserve">Simulated 500 error</t>
  </si>
  <si>
    <t xml:space="preserve">Order flagged for review, error logged, no false 'Verified' status applied</t>
  </si>
  <si>
    <t xml:space="preserve">TC-045</t>
  </si>
  <si>
    <t xml:space="preserve">TS-29</t>
  </si>
  <si>
    <t xml:space="preserve">Vision verification result and confidence score are correctly logged in database</t>
  </si>
  <si>
    <t xml:space="preserve">Vision check completed for an order</t>
  </si>
  <si>
    <t xml:space="preserve">1. Complete a vision check 2. Query vision_verification_log table</t>
  </si>
  <si>
    <t xml:space="preserve">Row exists with correct order_id, match_status, confidence_score, checked_at</t>
  </si>
  <si>
    <t xml:space="preserve">TC-046</t>
  </si>
  <si>
    <t xml:space="preserve">TS-30</t>
  </si>
  <si>
    <t xml:space="preserve">Reporting Dashboard</t>
  </si>
  <si>
    <t xml:space="preserve">Daily dispensing summary count matches actual dispensed orders in DB</t>
  </si>
  <si>
    <t xml:space="preserve">Multiple orders dispensed today</t>
  </si>
  <si>
    <t xml:space="preserve">1. Dispense 5 orders 2. Check dashboard daily summary count 3. Cross-check with DB query</t>
  </si>
  <si>
    <t xml:space="preserve">5 dispensed orders</t>
  </si>
  <si>
    <t xml:space="preserve">Dashboard count = 5, matches DB COUNT query</t>
  </si>
  <si>
    <t xml:space="preserve">TC-047</t>
  </si>
  <si>
    <t xml:space="preserve">TS-31</t>
  </si>
  <si>
    <t xml:space="preserve">Pending orders count reflects only orders awaiting verification</t>
  </si>
  <si>
    <t xml:space="preserve">Mix of Pending, Verified, and Dispensed orders exist</t>
  </si>
  <si>
    <t xml:space="preserve">1. Check dashboard pending count 2. Cross-check with DB filter status='Pending Verification'</t>
  </si>
  <si>
    <t xml:space="preserve">Mixed order statuses</t>
  </si>
  <si>
    <t xml:space="preserve">Dashboard pending count matches DB filtered count exactly</t>
  </si>
  <si>
    <t xml:space="preserve">TC-048</t>
  </si>
  <si>
    <t xml:space="preserve">TS-32</t>
  </si>
  <si>
    <t xml:space="preserve">Low-stock report reflects current inventory accurately</t>
  </si>
  <si>
    <t xml:space="preserve">At least one medication below threshold</t>
  </si>
  <si>
    <t xml:space="preserve">1. Reduce a medication's stock below threshold 2. Refresh low-stock report</t>
  </si>
  <si>
    <t xml:space="preserve">Stock below threshold</t>
  </si>
  <si>
    <t xml:space="preserve">Medication appears in low-stock report with correct current quantity</t>
  </si>
  <si>
    <t xml:space="preserve">TC-049</t>
  </si>
  <si>
    <t xml:space="preserve">TS-33</t>
  </si>
  <si>
    <t xml:space="preserve">Vision verification pass/fail rate calculates correctly</t>
  </si>
  <si>
    <t xml:space="preserve">10 vision checks performed: 8 Verified, 2 Rejected</t>
  </si>
  <si>
    <t xml:space="preserve">1. Perform mixed vision checks 2. Check dashboard pass rate</t>
  </si>
  <si>
    <t xml:space="preserve">8 pass, 2 fail out of 10</t>
  </si>
  <si>
    <t xml:space="preserve">Dashboard shows 80% pass rate, 20% fail rate</t>
  </si>
  <si>
    <t xml:space="preserve">TC-050</t>
  </si>
  <si>
    <t xml:space="preserve">TS-34</t>
  </si>
  <si>
    <t xml:space="preserve">API Testing</t>
  </si>
  <si>
    <t xml:space="preserve">POST /api/orders returns 201 with valid payload</t>
  </si>
  <si>
    <t xml:space="preserve">Valid auth token for Technician</t>
  </si>
  <si>
    <t xml:space="preserve">1. Send POST /api/orders with valid JSON body</t>
  </si>
  <si>
    <t xml:space="preserve">Valid order JSON</t>
  </si>
  <si>
    <t xml:space="preserve">201 Created, response body contains new order_id</t>
  </si>
  <si>
    <t xml:space="preserve">TC-051</t>
  </si>
  <si>
    <t xml:space="preserve">PUT /api/orders/{id}/dispense returns 200 on valid dispense</t>
  </si>
  <si>
    <t xml:space="preserve">Order verified, stock sufficient, valid auth token</t>
  </si>
  <si>
    <t xml:space="preserve">1. Send PUT /api/orders/{id}/dispense</t>
  </si>
  <si>
    <t xml:space="preserve">Valid order ID</t>
  </si>
  <si>
    <t xml:space="preserve">200 OK, response reflects updated order status</t>
  </si>
  <si>
    <t xml:space="preserve">TC-052</t>
  </si>
  <si>
    <t xml:space="preserve">TS-35</t>
  </si>
  <si>
    <t xml:space="preserve">POST /api/orders returns 400 for missing required fields</t>
  </si>
  <si>
    <t xml:space="preserve">Valid auth token</t>
  </si>
  <si>
    <t xml:space="preserve">1. Send POST /api/orders with medication field omitted</t>
  </si>
  <si>
    <t xml:space="preserve">Payload missing 'medication'</t>
  </si>
  <si>
    <t xml:space="preserve">400 Bad Request with descriptive validation error message</t>
  </si>
  <si>
    <t xml:space="preserve">TC-053</t>
  </si>
  <si>
    <t xml:space="preserve">PUT /api/orders/{id}/dispense returns 409 when stock insufficient</t>
  </si>
  <si>
    <t xml:space="preserve">Order verified, stock less than order qty</t>
  </si>
  <si>
    <t xml:space="preserve">Insufficient stock scenario</t>
  </si>
  <si>
    <t xml:space="preserve">409 Conflict with 'insufficient stock' error message</t>
  </si>
  <si>
    <t xml:space="preserve">TC-054</t>
  </si>
  <si>
    <t xml:space="preserve">TS-36</t>
  </si>
  <si>
    <t xml:space="preserve">GET /api/inventory returns 401 without auth token</t>
  </si>
  <si>
    <t xml:space="preserve">No auth token provided</t>
  </si>
  <si>
    <t xml:space="preserve">1. Send GET /api/inventory with no Authorization header</t>
  </si>
  <si>
    <t xml:space="preserve">No token</t>
  </si>
  <si>
    <t xml:space="preserve">401 Unauthorized</t>
  </si>
  <si>
    <t xml:space="preserve">TC-055</t>
  </si>
  <si>
    <t xml:space="preserve">PUT /api/orders/{id}/verify returns 403 for Technician role</t>
  </si>
  <si>
    <t xml:space="preserve">Valid auth token for Technician role</t>
  </si>
  <si>
    <t xml:space="preserve">1. Send PUT /api/orders/{id}/verify as Technician</t>
  </si>
  <si>
    <t xml:space="preserve">Technician token</t>
  </si>
  <si>
    <t xml:space="preserve">403 Forbidden — verification restricted to Pharmacist role</t>
  </si>
  <si>
    <t xml:space="preserve">TC-056</t>
  </si>
  <si>
    <t xml:space="preserve">TS-37</t>
  </si>
  <si>
    <t xml:space="preserve">GET /api/orders/{id} response schema matches documented structure</t>
  </si>
  <si>
    <t xml:space="preserve">Order exists</t>
  </si>
  <si>
    <t xml:space="preserve">1. Send GET /api/orders/{id} 2. Validate response JSON against expected schema</t>
  </si>
  <si>
    <t xml:space="preserve">Existing order ID</t>
  </si>
  <si>
    <t xml:space="preserve">All expected fields present with correct data types, no unexpected nulls</t>
  </si>
  <si>
    <t xml:space="preserve">TC-057</t>
  </si>
  <si>
    <t xml:space="preserve">GET /api/orders/{id}/vision-result response includes confidence_score field</t>
  </si>
  <si>
    <t xml:space="preserve">Vision check completed for the order</t>
  </si>
  <si>
    <t xml:space="preserve">1. Send GET /api/orders/{id}/vision-result</t>
  </si>
  <si>
    <t xml:space="preserve">Order ID with completed vision check</t>
  </si>
  <si>
    <t xml:space="preserve">Response includes match_status and confidence_score fields with valid types</t>
  </si>
  <si>
    <t xml:space="preserve">TC-058</t>
  </si>
  <si>
    <t xml:space="preserve">TS-38</t>
  </si>
  <si>
    <t xml:space="preserve">Database Validation</t>
  </si>
  <si>
    <t xml:space="preserve">Referential integrity holds between orders and vision_verification_log</t>
  </si>
  <si>
    <t xml:space="preserve">Order with completed vision check exists</t>
  </si>
  <si>
    <t xml:space="preserve">1. Query vision_verification_log 2. Confirm order_id references an existing row in orders table</t>
  </si>
  <si>
    <t xml:space="preserve">No orphaned vision log rows; order_id foreign key valid</t>
  </si>
  <si>
    <t xml:space="preserve">TC-059</t>
  </si>
  <si>
    <t xml:space="preserve">Referential integrity holds between dispensing_log and orders</t>
  </si>
  <si>
    <t xml:space="preserve">Dispensed order exists</t>
  </si>
  <si>
    <t xml:space="preserve">1. Query dispensing_log 2. Confirm order_id maps to valid orders row</t>
  </si>
  <si>
    <t xml:space="preserve">No orphaned dispensing_log rows</t>
  </si>
  <si>
    <t xml:space="preserve">TC-060</t>
  </si>
  <si>
    <t xml:space="preserve">TS-39</t>
  </si>
  <si>
    <t xml:space="preserve">Order status transition history is accurately recorded end-to-end</t>
  </si>
  <si>
    <t xml:space="preserve">Order taken through full lifecycle: created &gt; verified &gt; dispensed &gt; vision-verified</t>
  </si>
  <si>
    <t xml:space="preserve">1. Run order through full lifecycle 2. Query status at each stage</t>
  </si>
  <si>
    <t xml:space="preserve">Full lifecycle order</t>
  </si>
  <si>
    <t xml:space="preserve">Each transition reflects correct status at correct timestamp, in order</t>
  </si>
  <si>
    <t xml:space="preserve">TC-061</t>
  </si>
  <si>
    <t xml:space="preserve">TS-40</t>
  </si>
  <si>
    <t xml:space="preserve">No orphaned records remain after order cancellation</t>
  </si>
  <si>
    <t xml:space="preserve">Order cancelled before dispensing</t>
  </si>
  <si>
    <t xml:space="preserve">1. Cancel a Pending order 2. Query inventory, dispensing_log, vision_verification_log for related rows</t>
  </si>
  <si>
    <t xml:space="preserve">Cancelled order ID</t>
  </si>
  <si>
    <t xml:space="preserve">No related rows created in dispensing_log or vision_verification_log for the cancelled order</t>
  </si>
  <si>
    <t xml:space="preserve">TC-062</t>
  </si>
  <si>
    <t xml:space="preserve">Session expires after defined inactivity period</t>
  </si>
  <si>
    <t xml:space="preserve">Logged in as any role, idle for session-timeout duration</t>
  </si>
  <si>
    <t xml:space="preserve">1. Log in 2. Remain idle beyond configured timeout 3. Attempt an action</t>
  </si>
  <si>
    <t xml:space="preserve">Idle time &gt; timeout (e.g., 30 min)</t>
  </si>
  <si>
    <t xml:space="preserve">User is logged out and redirected to login page</t>
  </si>
  <si>
    <t xml:space="preserve">TC-063</t>
  </si>
  <si>
    <t xml:space="preserve">Login form rejects SQL injection style input in username field</t>
  </si>
  <si>
    <t xml:space="preserve">1. Enter payload such as ' OR '1'='1 in username field 2. Submit</t>
  </si>
  <si>
    <t xml:space="preserve">username: ' OR '1'='1</t>
  </si>
  <si>
    <t xml:space="preserve">Login rejected safely, no unexpected data exposure or error leak</t>
  </si>
  <si>
    <t xml:space="preserve">TC-064</t>
  </si>
  <si>
    <t xml:space="preserve">Pharmacist cannot access Inventory edit screen directly via URL</t>
  </si>
  <si>
    <t xml:space="preserve">1. Navigate directly to inventory edit URL as Pharmacist</t>
  </si>
  <si>
    <t xml:space="preserve">Pharmacist session</t>
  </si>
  <si>
    <t xml:space="preserve">Access denied (403) or redirected</t>
  </si>
  <si>
    <t xml:space="preserve">TC-065</t>
  </si>
  <si>
    <t xml:space="preserve">Order creation captures correct timestamp in created_at field</t>
  </si>
  <si>
    <t xml:space="preserve">1. Create a new order 2. Query orders table for created_at</t>
  </si>
  <si>
    <t xml:space="preserve">New order</t>
  </si>
  <si>
    <t xml:space="preserve">created_at matches actual submission time (within acceptable tolerance)</t>
  </si>
  <si>
    <t xml:space="preserve">TC-066</t>
  </si>
  <si>
    <t xml:space="preserve">Order creation fails when medication field is blank</t>
  </si>
  <si>
    <t xml:space="preserve">1. Leave medication field blank 2. Fill remaining fields 3. Submit</t>
  </si>
  <si>
    <t xml:space="preserve">Medication: (empty)</t>
  </si>
  <si>
    <t xml:space="preserve">Validation error on medication field, order not created</t>
  </si>
  <si>
    <t xml:space="preserve">TC-067</t>
  </si>
  <si>
    <t xml:space="preserve">Order creation rejects non-numeric quantity input</t>
  </si>
  <si>
    <t xml:space="preserve">1. Enter quantity as 'abc' 2. Submit</t>
  </si>
  <si>
    <t xml:space="preserve">Quantity: 'abc'</t>
  </si>
  <si>
    <t xml:space="preserve">Validation error shown, numeric input enforced</t>
  </si>
  <si>
    <t xml:space="preserve">TC-068</t>
  </si>
  <si>
    <t xml:space="preserve">Concurrent edits to the same pending order are handled without data loss</t>
  </si>
  <si>
    <t xml:space="preserve">Two users open the same Pending order simultaneously</t>
  </si>
  <si>
    <t xml:space="preserve">1. User A edits quantity, saves 2. User B (stale view) edits a different field, saves</t>
  </si>
  <si>
    <t xml:space="preserve">Concurrent edit scenario</t>
  </si>
  <si>
    <t xml:space="preserve">System either merges safely or warns of stale data — no silent overwrite of User A's change</t>
  </si>
  <si>
    <t xml:space="preserve">TC-069</t>
  </si>
  <si>
    <t xml:space="preserve">Pharmacist can view full order and patient details before approving</t>
  </si>
  <si>
    <t xml:space="preserve">Order pending verification</t>
  </si>
  <si>
    <t xml:space="preserve">1. Open order for review</t>
  </si>
  <si>
    <t xml:space="preserve">Pending order</t>
  </si>
  <si>
    <t xml:space="preserve">All relevant order and patient details are visible before decision</t>
  </si>
  <si>
    <t xml:space="preserve">TC-070</t>
  </si>
  <si>
    <t xml:space="preserve">Rejected order does not appear in Dispensing queue</t>
  </si>
  <si>
    <t xml:space="preserve">Order rejected by Pharmacist</t>
  </si>
  <si>
    <t xml:space="preserve">1. Reject an order 2. Check Dispensing queue</t>
  </si>
  <si>
    <t xml:space="preserve">Rejected order</t>
  </si>
  <si>
    <t xml:space="preserve">Order does not appear in the Dispensing queue</t>
  </si>
  <si>
    <t xml:space="preserve">TC-071</t>
  </si>
  <si>
    <t xml:space="preserve">Admin can view but not approve orders (approval restricted to Pharmacist)</t>
  </si>
  <si>
    <t xml:space="preserve">1. Open a pending order as Admin 2. Check for Approve/Reject actions</t>
  </si>
  <si>
    <t xml:space="preserve">Admin session</t>
  </si>
  <si>
    <t xml:space="preserve">Admin can view order but Approve/Reject actions are unavailable</t>
  </si>
  <si>
    <t xml:space="preserve">TC-072</t>
  </si>
  <si>
    <t xml:space="preserve">Verification action is timestamped and attributed to correct Pharmacist</t>
  </si>
  <si>
    <t xml:space="preserve">Pharmacist approves an order</t>
  </si>
  <si>
    <t xml:space="preserve">1. Approve order 2. Check audit fields</t>
  </si>
  <si>
    <t xml:space="preserve">Verified_by and verified_at fields populated correctly</t>
  </si>
  <si>
    <t xml:space="preserve">TC-073</t>
  </si>
  <si>
    <t xml:space="preserve">Stock update reflects correctly across multiple sequential dispenses</t>
  </si>
  <si>
    <t xml:space="preserve">Stock = 20, three orders of qty 3, 4, 5 dispensed in sequence</t>
  </si>
  <si>
    <t xml:space="preserve">1. Dispense three orders one after another 2. Check final stock</t>
  </si>
  <si>
    <t xml:space="preserve">20 - 3 - 4 - 5</t>
  </si>
  <si>
    <t xml:space="preserve">Final stock = 8, matches expected running total</t>
  </si>
  <si>
    <t xml:space="preserve">TC-074</t>
  </si>
  <si>
    <t xml:space="preserve">Insufficient-stock error message specifies available quantity</t>
  </si>
  <si>
    <t xml:space="preserve">Stock = 3, order qty = 10</t>
  </si>
  <si>
    <t xml:space="preserve">1. Attempt to dispense with insufficient stock</t>
  </si>
  <si>
    <t xml:space="preserve">Stock: 3, requested: 10</t>
  </si>
  <si>
    <t xml:space="preserve">Error message clearly states available stock (3) vs requested (10)</t>
  </si>
  <si>
    <t xml:space="preserve">TC-075</t>
  </si>
  <si>
    <t xml:space="preserve">Low-stock alert clears automatically once stock is replenished above threshold</t>
  </si>
  <si>
    <t xml:space="preserve">Stock currently below threshold, then restocked</t>
  </si>
  <si>
    <t xml:space="preserve">1. Restock medication above threshold 2. Refresh dashboard</t>
  </si>
  <si>
    <t xml:space="preserve">Stock restocked to 50, threshold 10</t>
  </si>
  <si>
    <t xml:space="preserve">Low-stock alert no longer shown for that medication</t>
  </si>
  <si>
    <t xml:space="preserve">TC-076</t>
  </si>
  <si>
    <t xml:space="preserve">Multiple batches of same medication: only expired batch blocked, valid batch usable</t>
  </si>
  <si>
    <t xml:space="preserve">Two batches exist — one expired, one valid</t>
  </si>
  <si>
    <t xml:space="preserve">1. Attempt to dispense 2. Verify system selects/allows only the valid batch</t>
  </si>
  <si>
    <t xml:space="preserve">Batch A expired, Batch B valid</t>
  </si>
  <si>
    <t xml:space="preserve">Dispensing proceeds using valid batch only; expired batch not selectable</t>
  </si>
  <si>
    <t xml:space="preserve">TC-077</t>
  </si>
  <si>
    <t xml:space="preserve">Dispense action is disabled in UI for orders not yet verified</t>
  </si>
  <si>
    <t xml:space="preserve">1. Open order in Dispensing view</t>
  </si>
  <si>
    <t xml:space="preserve">Dispense button is disabled/hidden</t>
  </si>
  <si>
    <t xml:space="preserve">TC-078</t>
  </si>
  <si>
    <t xml:space="preserve">Dispensing log entry cannot be edited or deleted after creation</t>
  </si>
  <si>
    <t xml:space="preserve">Dispensing log entry exists</t>
  </si>
  <si>
    <t xml:space="preserve">1. Attempt to modify or delete an existing dispensing_log row via API</t>
  </si>
  <si>
    <t xml:space="preserve">Existing log entry</t>
  </si>
  <si>
    <t xml:space="preserve">System rejects modification/deletion — audit trail immutability preserved</t>
  </si>
  <si>
    <t xml:space="preserve">TC-079</t>
  </si>
  <si>
    <t xml:space="preserve">System rejects unsupported image file formats on upload</t>
  </si>
  <si>
    <t xml:space="preserve">Order awaiting pack image</t>
  </si>
  <si>
    <t xml:space="preserve">1. Attempt to upload a .txt or .exe file instead of an image</t>
  </si>
  <si>
    <t xml:space="preserve">Invalid file type</t>
  </si>
  <si>
    <t xml:space="preserve">Upload rejected with clear file-type error message</t>
  </si>
  <si>
    <t xml:space="preserve">TC-080</t>
  </si>
  <si>
    <t xml:space="preserve">System rejects image upload exceeding maximum file size</t>
  </si>
  <si>
    <t xml:space="preserve">1. Attempt to upload an oversized image file</t>
  </si>
  <si>
    <t xml:space="preserve">File size &gt; max allowed</t>
  </si>
  <si>
    <t xml:space="preserve">Upload rejected with file-size error message</t>
  </si>
  <si>
    <t xml:space="preserve">TC-081</t>
  </si>
  <si>
    <t xml:space="preserve">Order marked Verified when pack contains correct medication despite minor packaging angle variance</t>
  </si>
  <si>
    <t xml:space="preserve">Pack image taken at a slight angle, medication correctly visible</t>
  </si>
  <si>
    <t xml:space="preserve">1. Submit angled but clear pack image</t>
  </si>
  <si>
    <t xml:space="preserve">Angled but legible image</t>
  </si>
  <si>
    <t xml:space="preserve">Order marked Verified — system tolerant of minor real-world variance</t>
  </si>
  <si>
    <t xml:space="preserve">TC-082</t>
  </si>
  <si>
    <t xml:space="preserve">Order marked Rejected when pack contains an extra unprescribed medication</t>
  </si>
  <si>
    <t xml:space="preserve">Pack image shows prescribed medication plus one extra item</t>
  </si>
  <si>
    <t xml:space="preserve">1. Submit image with an additional, unprescribed medication visible</t>
  </si>
  <si>
    <t xml:space="preserve">Image: correct + extra item</t>
  </si>
  <si>
    <t xml:space="preserve">Order marked Rejected due to mismatch with prescription</t>
  </si>
  <si>
    <t xml:space="preserve">TC-083</t>
  </si>
  <si>
    <t xml:space="preserve">Order under review can be manually resolved and moved to Complete by Pharmacist</t>
  </si>
  <si>
    <t xml:space="preserve">1. Pharmacist reviews evidence 2. Manually confirms correct contents 3. Marks resolved</t>
  </si>
  <si>
    <t xml:space="preserve">Manual override with justification</t>
  </si>
  <si>
    <t xml:space="preserve">Order transitions to Complete with audit note of manual resolution</t>
  </si>
  <si>
    <t xml:space="preserve">TC-084</t>
  </si>
  <si>
    <t xml:space="preserve">Confidence score just above threshold is treated as Verified</t>
  </si>
  <si>
    <t xml:space="preserve">Threshold = 85%</t>
  </si>
  <si>
    <t xml:space="preserve">1. Submit image producing confidence score of 86%</t>
  </si>
  <si>
    <t xml:space="preserve">Confidence: 86%</t>
  </si>
  <si>
    <t xml:space="preserve">Order marked Verified per documented rule</t>
  </si>
  <si>
    <t xml:space="preserve">TC-085</t>
  </si>
  <si>
    <t xml:space="preserve">Vision check re-attempt after failure creates a new log entry, not overwrite</t>
  </si>
  <si>
    <t xml:space="preserve">Previous vision check failed/timed out</t>
  </si>
  <si>
    <t xml:space="preserve">1. Retry vision check for the same order</t>
  </si>
  <si>
    <t xml:space="preserve">Retry after failure</t>
  </si>
  <si>
    <t xml:space="preserve">New row logged in vision_verification_log; original failed attempt preserved for audit</t>
  </si>
  <si>
    <t xml:space="preserve">TC-086</t>
  </si>
  <si>
    <t xml:space="preserve">Dashboard summary updates in near real-time after a new dispense</t>
  </si>
  <si>
    <t xml:space="preserve">Dashboard open, new order dispensed in another session</t>
  </si>
  <si>
    <t xml:space="preserve">1. Dispense an order 2. Refresh/observe dashboard</t>
  </si>
  <si>
    <t xml:space="preserve">New dispense event</t>
  </si>
  <si>
    <t xml:space="preserve">Dashboard count reflects the new dispense after refresh</t>
  </si>
  <si>
    <t xml:space="preserve">TC-087</t>
  </si>
  <si>
    <t xml:space="preserve">Pending orders count excludes Rejected and Dispensed orders</t>
  </si>
  <si>
    <t xml:space="preserve">Mixed order statuses present</t>
  </si>
  <si>
    <t xml:space="preserve">1. Check pending count against DB filtered strictly to Pending Verification</t>
  </si>
  <si>
    <t xml:space="preserve">Mixed statuses</t>
  </si>
  <si>
    <t xml:space="preserve">Count excludes Rejected/Dispensed/Verified-only orders</t>
  </si>
  <si>
    <t xml:space="preserve">TC-088</t>
  </si>
  <si>
    <t xml:space="preserve">Low-stock report sorted by most critical (lowest stock) first</t>
  </si>
  <si>
    <t xml:space="preserve">Multiple medications below threshold at varying levels</t>
  </si>
  <si>
    <t xml:space="preserve">1. Open low-stock report</t>
  </si>
  <si>
    <t xml:space="preserve">Multiple low-stock items</t>
  </si>
  <si>
    <t xml:space="preserve">Report sorted ascending by remaining stock quantity</t>
  </si>
  <si>
    <t xml:space="preserve">P4</t>
  </si>
  <si>
    <t xml:space="preserve">TC-089</t>
  </si>
  <si>
    <t xml:space="preserve">GET /api/inventory returns 200 with correctly structured stock list</t>
  </si>
  <si>
    <t xml:space="preserve">1. Send GET /api/inventory</t>
  </si>
  <si>
    <t xml:space="preserve">Valid token</t>
  </si>
  <si>
    <t xml:space="preserve">200 OK, response is a list of inventory items with expected fields</t>
  </si>
  <si>
    <t xml:space="preserve">TC-090</t>
  </si>
  <si>
    <t xml:space="preserve">PUT /api/inventory/{id} returns 400 for negative stock value</t>
  </si>
  <si>
    <t xml:space="preserve">Valid auth token, existing inventory item</t>
  </si>
  <si>
    <t xml:space="preserve">1. Send PUT /api/inventory/{id} with stock_qty = -5</t>
  </si>
  <si>
    <t xml:space="preserve">stock_qty: -5</t>
  </si>
  <si>
    <t xml:space="preserve">400 Bad Request, stock not updated</t>
  </si>
  <si>
    <t xml:space="preserve">TC-091</t>
  </si>
  <si>
    <t xml:space="preserve">POST /api/orders/{id}/vision-check returns 400 when no image is attached</t>
  </si>
  <si>
    <t xml:space="preserve">Valid auth token, valid order</t>
  </si>
  <si>
    <t xml:space="preserve">1. Send POST /api/orders/{id}/vision-check with empty body</t>
  </si>
  <si>
    <t xml:space="preserve">No image attached</t>
  </si>
  <si>
    <t xml:space="preserve">400 Bad Request with descriptive error</t>
  </si>
  <si>
    <t xml:space="preserve">TC-092</t>
  </si>
  <si>
    <t xml:space="preserve">PUT /api/inventory/{id} returns 403 for Technician role</t>
  </si>
  <si>
    <t xml:space="preserve">1. Send PUT /api/inventory/{id} as Technician</t>
  </si>
  <si>
    <t xml:space="preserve">403 Forbidden — inventory edits restricted appropriately per role policy</t>
  </si>
  <si>
    <t xml:space="preserve">TC-093</t>
  </si>
  <si>
    <t xml:space="preserve">Error responses across all endpoints follow a consistent JSON error schema</t>
  </si>
  <si>
    <t xml:space="preserve">Multiple invalid requests sent across endpoints</t>
  </si>
  <si>
    <t xml:space="preserve">1. Trigger 400/401/403/409 errors on several endpoints 2. Compare response structures</t>
  </si>
  <si>
    <t xml:space="preserve">Various invalid requests</t>
  </si>
  <si>
    <t xml:space="preserve">All error responses share consistent structure (e.g., error code + message fields)</t>
  </si>
  <si>
    <t xml:space="preserve">TC-094</t>
  </si>
  <si>
    <t xml:space="preserve">No duplicate order_id values exist in orders table</t>
  </si>
  <si>
    <t xml:space="preserve">System under normal operation with many orders</t>
  </si>
  <si>
    <t xml:space="preserve">1. Query orders table 2. Check order_id uniqueness constraint</t>
  </si>
  <si>
    <t xml:space="preserve">Full orders table</t>
  </si>
  <si>
    <t xml:space="preserve">order_id is unique across all rows (primary key enforced)</t>
  </si>
  <si>
    <t xml:space="preserve">TC-095</t>
  </si>
  <si>
    <t xml:space="preserve">Order cannot skip a required status in its transition sequence</t>
  </si>
  <si>
    <t xml:space="preserve">Order lifecycle enforced: Pending &gt; Verified &gt; Dispensed &gt; Complete/Rejected</t>
  </si>
  <si>
    <t xml:space="preserve">1. Attempt to force order directly from Pending to Complete via API</t>
  </si>
  <si>
    <t xml:space="preserve">Invalid direct status jump</t>
  </si>
  <si>
    <t xml:space="preserve">System rejects invalid transition, enforces defined sequence</t>
  </si>
  <si>
    <t xml:space="preserve">TC-096</t>
  </si>
  <si>
    <t xml:space="preserve">Cancelling a Verified (not yet dispensed) order reverts it without affecting inventory</t>
  </si>
  <si>
    <t xml:space="preserve">Order Verified but not yet dispensed</t>
  </si>
  <si>
    <t xml:space="preserve">1. Cancel the Verified order 2. Check inventory stock unaffected</t>
  </si>
  <si>
    <t xml:space="preserve">Verified, uncancelled order</t>
  </si>
  <si>
    <t xml:space="preserve">Order status = Cancelled, inventory stock remains unchanged (no deduction had occurred)</t>
  </si>
  <si>
    <t xml:space="preserve">TC-097</t>
  </si>
  <si>
    <t xml:space="preserve">Admin can view audit log of user account changes</t>
  </si>
  <si>
    <t xml:space="preserve">Logged in as Admin, prior user creation/deactivation actions exist</t>
  </si>
  <si>
    <t xml:space="preserve">1. Navigate to audit/user activity log</t>
  </si>
  <si>
    <t xml:space="preserve">Existing account changes</t>
  </si>
  <si>
    <t xml:space="preserve">Log shows accurate history of user account actions with timestamps</t>
  </si>
  <si>
    <t xml:space="preserve">TC-098</t>
  </si>
  <si>
    <t xml:space="preserve">Order intake form retains entered data if a non-mandatory field validation fails</t>
  </si>
  <si>
    <t xml:space="preserve">Logged in as Technician, form partially filled</t>
  </si>
  <si>
    <t xml:space="preserve">1. Trigger a minor validation warning 2. Check other field values are retained</t>
  </si>
  <si>
    <t xml:space="preserve">Partially filled form</t>
  </si>
  <si>
    <t xml:space="preserve">Previously entered valid field values are not cleared</t>
  </si>
  <si>
    <t xml:space="preserve">TC-099</t>
  </si>
  <si>
    <t xml:space="preserve">Dispensing correctly blocked when requested quantity exceeds stock by exactly 1 unit</t>
  </si>
  <si>
    <t xml:space="preserve">Stock = 5, order qty = 6</t>
  </si>
  <si>
    <t xml:space="preserve">1. Attempt to dispense 6 units against 5 in stock</t>
  </si>
  <si>
    <t xml:space="preserve">Stock: 5, Order qty: 6</t>
  </si>
  <si>
    <t xml:space="preserve">Dispensing blocked with insufficient-stock error</t>
  </si>
  <si>
    <t xml:space="preserve">TC-100</t>
  </si>
  <si>
    <t xml:space="preserve">Order remains in 'Awaiting Verification' state visibly in dashboard while vision check is pending</t>
  </si>
  <si>
    <t xml:space="preserve">Vision check submitted, result pending</t>
  </si>
  <si>
    <t xml:space="preserve">1. Submit vision check 2. Check dashboard order status before result returns</t>
  </si>
  <si>
    <t xml:space="preserve">Pending vision result</t>
  </si>
  <si>
    <t xml:space="preserve">Dashboard accurately shows 'Awaiting Verification', not a false Complete/Verified state</t>
  </si>
  <si>
    <t xml:space="preserve">TC-101</t>
  </si>
  <si>
    <t xml:space="preserve">Vision pass/fail rate excludes checks still pending from the calculation</t>
  </si>
  <si>
    <t xml:space="preserve">Some vision checks completed, one still pending</t>
  </si>
  <si>
    <t xml:space="preserve">1. Calculate pass/fail rate with a pending check included in dataset</t>
  </si>
  <si>
    <t xml:space="preserve">9 completed (7 pass/2 fail), 1 pending</t>
  </si>
  <si>
    <t xml:space="preserve">Rate calculated only from the 9 completed checks (77.8% pass), pending excluded</t>
  </si>
  <si>
    <t xml:space="preserve">MediDispense — Test Case Summary</t>
  </si>
  <si>
    <t xml:space="preserve">Total Test Cases</t>
  </si>
  <si>
    <t xml:space="preserve">By Priority</t>
  </si>
  <si>
    <t xml:space="preserve">By Test Type</t>
  </si>
  <si>
    <t xml:space="preserve">By Status</t>
  </si>
  <si>
    <t xml:space="preserve">Pass</t>
  </si>
  <si>
    <t xml:space="preserve">Fail</t>
  </si>
  <si>
    <t xml:space="preserve">Blocked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</si>
</sst>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D9D9D9"/>
      </patternFill>
    </fill>
    <fill>
      <patternFill patternType="solid">
        <fgColor rgb="FFD9D9D9"/>
        <bgColor rgb="FFC6E0B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34"/>
    <col collapsed="false" customWidth="true" hidden="false" outlineLevel="0" max="5" min="5" style="0" width="26"/>
    <col collapsed="false" customWidth="true" hidden="false" outlineLevel="0" max="6" min="6" style="0" width="40"/>
    <col collapsed="false" customWidth="true" hidden="false" outlineLevel="0" max="7" min="7" style="0" width="26"/>
    <col collapsed="false" customWidth="true" hidden="false" outlineLevel="0" max="8" min="8" style="0" width="38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1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3.85" hidden="false" customHeight="false" outlineLevel="0" collapsed="false">
      <c r="A2" s="2" t="s">
        <v>11</v>
      </c>
      <c r="B2" s="2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4" t="s">
        <v>19</v>
      </c>
      <c r="J2" s="2" t="s">
        <v>20</v>
      </c>
      <c r="K2" s="2" t="s">
        <v>21</v>
      </c>
    </row>
    <row r="3" customFormat="false" ht="23.85" hidden="false" customHeight="false" outlineLevel="0" collapsed="false">
      <c r="A3" s="2" t="s">
        <v>22</v>
      </c>
      <c r="B3" s="2" t="s">
        <v>12</v>
      </c>
      <c r="C3" s="3" t="s">
        <v>13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4" t="s">
        <v>19</v>
      </c>
      <c r="J3" s="2" t="s">
        <v>20</v>
      </c>
      <c r="K3" s="2" t="s">
        <v>21</v>
      </c>
    </row>
    <row r="4" customFormat="false" ht="23.85" hidden="false" customHeight="false" outlineLevel="0" collapsed="false">
      <c r="A4" s="2" t="s">
        <v>28</v>
      </c>
      <c r="B4" s="2" t="s">
        <v>29</v>
      </c>
      <c r="C4" s="3" t="s">
        <v>13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34</v>
      </c>
      <c r="I4" s="4" t="s">
        <v>19</v>
      </c>
      <c r="J4" s="2" t="s">
        <v>35</v>
      </c>
      <c r="K4" s="2" t="s">
        <v>21</v>
      </c>
    </row>
    <row r="5" customFormat="false" ht="23.85" hidden="false" customHeight="false" outlineLevel="0" collapsed="false">
      <c r="A5" s="2" t="s">
        <v>36</v>
      </c>
      <c r="B5" s="2" t="s">
        <v>29</v>
      </c>
      <c r="C5" s="3" t="s">
        <v>13</v>
      </c>
      <c r="D5" s="3" t="s">
        <v>37</v>
      </c>
      <c r="E5" s="3" t="s">
        <v>38</v>
      </c>
      <c r="F5" s="3" t="s">
        <v>39</v>
      </c>
      <c r="G5" s="3" t="s">
        <v>40</v>
      </c>
      <c r="H5" s="3" t="s">
        <v>41</v>
      </c>
      <c r="I5" s="5" t="s">
        <v>42</v>
      </c>
      <c r="J5" s="2" t="s">
        <v>35</v>
      </c>
      <c r="K5" s="2" t="s">
        <v>21</v>
      </c>
    </row>
    <row r="6" customFormat="false" ht="23.85" hidden="false" customHeight="false" outlineLevel="0" collapsed="false">
      <c r="A6" s="2" t="s">
        <v>43</v>
      </c>
      <c r="B6" s="2" t="s">
        <v>44</v>
      </c>
      <c r="C6" s="3" t="s">
        <v>13</v>
      </c>
      <c r="D6" s="3" t="s">
        <v>45</v>
      </c>
      <c r="E6" s="3" t="s">
        <v>46</v>
      </c>
      <c r="F6" s="3" t="s">
        <v>47</v>
      </c>
      <c r="G6" s="3" t="s">
        <v>48</v>
      </c>
      <c r="H6" s="3" t="s">
        <v>49</v>
      </c>
      <c r="I6" s="4" t="s">
        <v>19</v>
      </c>
      <c r="J6" s="2" t="s">
        <v>35</v>
      </c>
      <c r="K6" s="2" t="s">
        <v>21</v>
      </c>
    </row>
    <row r="7" customFormat="false" ht="23.85" hidden="false" customHeight="false" outlineLevel="0" collapsed="false">
      <c r="A7" s="2" t="s">
        <v>50</v>
      </c>
      <c r="B7" s="2" t="s">
        <v>51</v>
      </c>
      <c r="C7" s="3" t="s">
        <v>13</v>
      </c>
      <c r="D7" s="3" t="s">
        <v>52</v>
      </c>
      <c r="E7" s="3" t="s">
        <v>53</v>
      </c>
      <c r="F7" s="3" t="s">
        <v>54</v>
      </c>
      <c r="G7" s="3" t="s">
        <v>55</v>
      </c>
      <c r="H7" s="3" t="s">
        <v>56</v>
      </c>
      <c r="I7" s="5" t="s">
        <v>42</v>
      </c>
      <c r="J7" s="2" t="s">
        <v>20</v>
      </c>
      <c r="K7" s="2" t="s">
        <v>21</v>
      </c>
    </row>
    <row r="8" customFormat="false" ht="23.85" hidden="false" customHeight="false" outlineLevel="0" collapsed="false">
      <c r="A8" s="2" t="s">
        <v>57</v>
      </c>
      <c r="B8" s="2" t="s">
        <v>51</v>
      </c>
      <c r="C8" s="3" t="s">
        <v>13</v>
      </c>
      <c r="D8" s="3" t="s">
        <v>58</v>
      </c>
      <c r="E8" s="3" t="s">
        <v>59</v>
      </c>
      <c r="F8" s="3" t="s">
        <v>60</v>
      </c>
      <c r="G8" s="3" t="s">
        <v>61</v>
      </c>
      <c r="H8" s="3" t="s">
        <v>62</v>
      </c>
      <c r="I8" s="5" t="s">
        <v>42</v>
      </c>
      <c r="J8" s="2" t="s">
        <v>35</v>
      </c>
      <c r="K8" s="2" t="s">
        <v>21</v>
      </c>
    </row>
    <row r="9" customFormat="false" ht="23.85" hidden="false" customHeight="false" outlineLevel="0" collapsed="false">
      <c r="A9" s="2" t="s">
        <v>63</v>
      </c>
      <c r="B9" s="2" t="s">
        <v>64</v>
      </c>
      <c r="C9" s="3" t="s">
        <v>65</v>
      </c>
      <c r="D9" s="3" t="s">
        <v>66</v>
      </c>
      <c r="E9" s="3" t="s">
        <v>46</v>
      </c>
      <c r="F9" s="3" t="s">
        <v>67</v>
      </c>
      <c r="G9" s="3" t="s">
        <v>68</v>
      </c>
      <c r="H9" s="3" t="s">
        <v>69</v>
      </c>
      <c r="I9" s="4" t="s">
        <v>19</v>
      </c>
      <c r="J9" s="2" t="s">
        <v>20</v>
      </c>
      <c r="K9" s="2" t="s">
        <v>21</v>
      </c>
    </row>
    <row r="10" customFormat="false" ht="23.85" hidden="false" customHeight="false" outlineLevel="0" collapsed="false">
      <c r="A10" s="2" t="s">
        <v>70</v>
      </c>
      <c r="B10" s="2" t="s">
        <v>64</v>
      </c>
      <c r="C10" s="3" t="s">
        <v>65</v>
      </c>
      <c r="D10" s="3" t="s">
        <v>71</v>
      </c>
      <c r="E10" s="3" t="s">
        <v>46</v>
      </c>
      <c r="F10" s="3" t="s">
        <v>72</v>
      </c>
      <c r="G10" s="3" t="s">
        <v>73</v>
      </c>
      <c r="H10" s="3" t="s">
        <v>74</v>
      </c>
      <c r="I10" s="6" t="s">
        <v>75</v>
      </c>
      <c r="J10" s="2" t="s">
        <v>76</v>
      </c>
      <c r="K10" s="2" t="s">
        <v>21</v>
      </c>
    </row>
    <row r="11" customFormat="false" ht="23.85" hidden="false" customHeight="false" outlineLevel="0" collapsed="false">
      <c r="A11" s="2" t="s">
        <v>77</v>
      </c>
      <c r="B11" s="2" t="s">
        <v>78</v>
      </c>
      <c r="C11" s="3" t="s">
        <v>65</v>
      </c>
      <c r="D11" s="3" t="s">
        <v>79</v>
      </c>
      <c r="E11" s="3" t="s">
        <v>46</v>
      </c>
      <c r="F11" s="3" t="s">
        <v>80</v>
      </c>
      <c r="G11" s="3" t="s">
        <v>81</v>
      </c>
      <c r="H11" s="3" t="s">
        <v>82</v>
      </c>
      <c r="I11" s="4" t="s">
        <v>19</v>
      </c>
      <c r="J11" s="2" t="s">
        <v>35</v>
      </c>
      <c r="K11" s="2" t="s">
        <v>21</v>
      </c>
    </row>
    <row r="12" customFormat="false" ht="23.85" hidden="false" customHeight="false" outlineLevel="0" collapsed="false">
      <c r="A12" s="2" t="s">
        <v>83</v>
      </c>
      <c r="B12" s="2" t="s">
        <v>78</v>
      </c>
      <c r="C12" s="3" t="s">
        <v>65</v>
      </c>
      <c r="D12" s="3" t="s">
        <v>84</v>
      </c>
      <c r="E12" s="3" t="s">
        <v>46</v>
      </c>
      <c r="F12" s="3" t="s">
        <v>85</v>
      </c>
      <c r="G12" s="3" t="s">
        <v>86</v>
      </c>
      <c r="H12" s="3" t="s">
        <v>87</v>
      </c>
      <c r="I12" s="4" t="s">
        <v>19</v>
      </c>
      <c r="J12" s="2" t="s">
        <v>35</v>
      </c>
      <c r="K12" s="2" t="s">
        <v>21</v>
      </c>
    </row>
    <row r="13" customFormat="false" ht="23.85" hidden="false" customHeight="false" outlineLevel="0" collapsed="false">
      <c r="A13" s="2" t="s">
        <v>88</v>
      </c>
      <c r="B13" s="2" t="s">
        <v>89</v>
      </c>
      <c r="C13" s="3" t="s">
        <v>65</v>
      </c>
      <c r="D13" s="3" t="s">
        <v>90</v>
      </c>
      <c r="E13" s="3" t="s">
        <v>91</v>
      </c>
      <c r="F13" s="3" t="s">
        <v>92</v>
      </c>
      <c r="G13" s="3" t="s">
        <v>93</v>
      </c>
      <c r="H13" s="3" t="s">
        <v>94</v>
      </c>
      <c r="I13" s="5" t="s">
        <v>42</v>
      </c>
      <c r="J13" s="2" t="s">
        <v>35</v>
      </c>
      <c r="K13" s="2" t="s">
        <v>21</v>
      </c>
    </row>
    <row r="14" customFormat="false" ht="23.85" hidden="false" customHeight="false" outlineLevel="0" collapsed="false">
      <c r="A14" s="2" t="s">
        <v>95</v>
      </c>
      <c r="B14" s="2" t="s">
        <v>89</v>
      </c>
      <c r="C14" s="3" t="s">
        <v>65</v>
      </c>
      <c r="D14" s="3" t="s">
        <v>96</v>
      </c>
      <c r="E14" s="3" t="s">
        <v>97</v>
      </c>
      <c r="F14" s="3" t="s">
        <v>98</v>
      </c>
      <c r="G14" s="3" t="s">
        <v>99</v>
      </c>
      <c r="H14" s="3" t="s">
        <v>100</v>
      </c>
      <c r="I14" s="5" t="s">
        <v>42</v>
      </c>
      <c r="J14" s="2" t="s">
        <v>35</v>
      </c>
      <c r="K14" s="2" t="s">
        <v>21</v>
      </c>
    </row>
    <row r="15" customFormat="false" ht="23.85" hidden="false" customHeight="false" outlineLevel="0" collapsed="false">
      <c r="A15" s="2" t="s">
        <v>101</v>
      </c>
      <c r="B15" s="2" t="s">
        <v>102</v>
      </c>
      <c r="C15" s="3" t="s">
        <v>65</v>
      </c>
      <c r="D15" s="3" t="s">
        <v>103</v>
      </c>
      <c r="E15" s="3" t="s">
        <v>104</v>
      </c>
      <c r="F15" s="3" t="s">
        <v>105</v>
      </c>
      <c r="G15" s="3" t="s">
        <v>106</v>
      </c>
      <c r="H15" s="3" t="s">
        <v>107</v>
      </c>
      <c r="I15" s="5" t="s">
        <v>42</v>
      </c>
      <c r="J15" s="2" t="s">
        <v>20</v>
      </c>
      <c r="K15" s="2" t="s">
        <v>21</v>
      </c>
    </row>
    <row r="16" customFormat="false" ht="23.85" hidden="false" customHeight="false" outlineLevel="0" collapsed="false">
      <c r="A16" s="2" t="s">
        <v>108</v>
      </c>
      <c r="B16" s="2" t="s">
        <v>102</v>
      </c>
      <c r="C16" s="3" t="s">
        <v>65</v>
      </c>
      <c r="D16" s="3" t="s">
        <v>109</v>
      </c>
      <c r="E16" s="3" t="s">
        <v>110</v>
      </c>
      <c r="F16" s="3" t="s">
        <v>111</v>
      </c>
      <c r="G16" s="3" t="s">
        <v>112</v>
      </c>
      <c r="H16" s="3" t="s">
        <v>113</v>
      </c>
      <c r="I16" s="5" t="s">
        <v>42</v>
      </c>
      <c r="J16" s="2" t="s">
        <v>35</v>
      </c>
      <c r="K16" s="2" t="s">
        <v>21</v>
      </c>
    </row>
    <row r="17" customFormat="false" ht="35.05" hidden="false" customHeight="false" outlineLevel="0" collapsed="false">
      <c r="A17" s="2" t="s">
        <v>114</v>
      </c>
      <c r="B17" s="2" t="s">
        <v>115</v>
      </c>
      <c r="C17" s="3" t="s">
        <v>116</v>
      </c>
      <c r="D17" s="3" t="s">
        <v>117</v>
      </c>
      <c r="E17" s="3" t="s">
        <v>118</v>
      </c>
      <c r="F17" s="3" t="s">
        <v>119</v>
      </c>
      <c r="G17" s="3" t="s">
        <v>120</v>
      </c>
      <c r="H17" s="3" t="s">
        <v>121</v>
      </c>
      <c r="I17" s="4" t="s">
        <v>19</v>
      </c>
      <c r="J17" s="2" t="s">
        <v>20</v>
      </c>
      <c r="K17" s="2" t="s">
        <v>21</v>
      </c>
    </row>
    <row r="18" customFormat="false" ht="23.85" hidden="false" customHeight="false" outlineLevel="0" collapsed="false">
      <c r="A18" s="2" t="s">
        <v>122</v>
      </c>
      <c r="B18" s="2" t="s">
        <v>115</v>
      </c>
      <c r="C18" s="3" t="s">
        <v>116</v>
      </c>
      <c r="D18" s="3" t="s">
        <v>123</v>
      </c>
      <c r="E18" s="3" t="s">
        <v>124</v>
      </c>
      <c r="F18" s="3" t="s">
        <v>125</v>
      </c>
      <c r="G18" s="3" t="s">
        <v>126</v>
      </c>
      <c r="H18" s="3" t="s">
        <v>127</v>
      </c>
      <c r="I18" s="4" t="s">
        <v>19</v>
      </c>
      <c r="J18" s="2" t="s">
        <v>20</v>
      </c>
      <c r="K18" s="2" t="s">
        <v>21</v>
      </c>
    </row>
    <row r="19" customFormat="false" ht="23.85" hidden="false" customHeight="false" outlineLevel="0" collapsed="false">
      <c r="A19" s="2" t="s">
        <v>128</v>
      </c>
      <c r="B19" s="2" t="s">
        <v>129</v>
      </c>
      <c r="C19" s="3" t="s">
        <v>116</v>
      </c>
      <c r="D19" s="3" t="s">
        <v>130</v>
      </c>
      <c r="E19" s="3" t="s">
        <v>104</v>
      </c>
      <c r="F19" s="3" t="s">
        <v>131</v>
      </c>
      <c r="G19" s="3" t="s">
        <v>132</v>
      </c>
      <c r="H19" s="3" t="s">
        <v>133</v>
      </c>
      <c r="I19" s="4" t="s">
        <v>19</v>
      </c>
      <c r="J19" s="2" t="s">
        <v>20</v>
      </c>
      <c r="K19" s="2" t="s">
        <v>21</v>
      </c>
    </row>
    <row r="20" customFormat="false" ht="23.85" hidden="false" customHeight="false" outlineLevel="0" collapsed="false">
      <c r="A20" s="2" t="s">
        <v>134</v>
      </c>
      <c r="B20" s="2" t="s">
        <v>129</v>
      </c>
      <c r="C20" s="3" t="s">
        <v>116</v>
      </c>
      <c r="D20" s="3" t="s">
        <v>135</v>
      </c>
      <c r="E20" s="3" t="s">
        <v>104</v>
      </c>
      <c r="F20" s="3" t="s">
        <v>136</v>
      </c>
      <c r="G20" s="3" t="s">
        <v>137</v>
      </c>
      <c r="H20" s="3" t="s">
        <v>138</v>
      </c>
      <c r="I20" s="5" t="s">
        <v>42</v>
      </c>
      <c r="J20" s="2" t="s">
        <v>35</v>
      </c>
      <c r="K20" s="2" t="s">
        <v>21</v>
      </c>
    </row>
    <row r="21" customFormat="false" ht="23.85" hidden="false" customHeight="false" outlineLevel="0" collapsed="false">
      <c r="A21" s="2" t="s">
        <v>139</v>
      </c>
      <c r="B21" s="2" t="s">
        <v>140</v>
      </c>
      <c r="C21" s="3" t="s">
        <v>116</v>
      </c>
      <c r="D21" s="3" t="s">
        <v>141</v>
      </c>
      <c r="E21" s="3" t="s">
        <v>142</v>
      </c>
      <c r="F21" s="3" t="s">
        <v>143</v>
      </c>
      <c r="G21" s="3" t="s">
        <v>144</v>
      </c>
      <c r="H21" s="3" t="s">
        <v>145</v>
      </c>
      <c r="I21" s="4" t="s">
        <v>19</v>
      </c>
      <c r="J21" s="2" t="s">
        <v>35</v>
      </c>
      <c r="K21" s="2" t="s">
        <v>21</v>
      </c>
    </row>
    <row r="22" customFormat="false" ht="23.85" hidden="false" customHeight="false" outlineLevel="0" collapsed="false">
      <c r="A22" s="2" t="s">
        <v>146</v>
      </c>
      <c r="B22" s="2" t="s">
        <v>147</v>
      </c>
      <c r="C22" s="3" t="s">
        <v>116</v>
      </c>
      <c r="D22" s="3" t="s">
        <v>148</v>
      </c>
      <c r="E22" s="3" t="s">
        <v>149</v>
      </c>
      <c r="F22" s="3" t="s">
        <v>150</v>
      </c>
      <c r="G22" s="3" t="s">
        <v>151</v>
      </c>
      <c r="H22" s="3" t="s">
        <v>152</v>
      </c>
      <c r="I22" s="5" t="s">
        <v>42</v>
      </c>
      <c r="J22" s="2" t="s">
        <v>20</v>
      </c>
      <c r="K22" s="2" t="s">
        <v>21</v>
      </c>
    </row>
    <row r="23" customFormat="false" ht="23.85" hidden="false" customHeight="false" outlineLevel="0" collapsed="false">
      <c r="A23" s="2" t="s">
        <v>153</v>
      </c>
      <c r="B23" s="2" t="s">
        <v>154</v>
      </c>
      <c r="C23" s="3" t="s">
        <v>155</v>
      </c>
      <c r="D23" s="3" t="s">
        <v>156</v>
      </c>
      <c r="E23" s="3" t="s">
        <v>157</v>
      </c>
      <c r="F23" s="3" t="s">
        <v>158</v>
      </c>
      <c r="G23" s="3" t="s">
        <v>159</v>
      </c>
      <c r="H23" s="3" t="s">
        <v>160</v>
      </c>
      <c r="I23" s="4" t="s">
        <v>19</v>
      </c>
      <c r="J23" s="2" t="s">
        <v>20</v>
      </c>
      <c r="K23" s="2" t="s">
        <v>21</v>
      </c>
    </row>
    <row r="24" customFormat="false" ht="23.85" hidden="false" customHeight="false" outlineLevel="0" collapsed="false">
      <c r="A24" s="2" t="s">
        <v>161</v>
      </c>
      <c r="B24" s="2" t="s">
        <v>162</v>
      </c>
      <c r="C24" s="3" t="s">
        <v>155</v>
      </c>
      <c r="D24" s="3" t="s">
        <v>163</v>
      </c>
      <c r="E24" s="3" t="s">
        <v>164</v>
      </c>
      <c r="F24" s="3" t="s">
        <v>165</v>
      </c>
      <c r="G24" s="3" t="s">
        <v>166</v>
      </c>
      <c r="H24" s="3" t="s">
        <v>167</v>
      </c>
      <c r="I24" s="4" t="s">
        <v>19</v>
      </c>
      <c r="J24" s="2" t="s">
        <v>35</v>
      </c>
      <c r="K24" s="2" t="s">
        <v>21</v>
      </c>
    </row>
    <row r="25" customFormat="false" ht="23.85" hidden="false" customHeight="false" outlineLevel="0" collapsed="false">
      <c r="A25" s="2" t="s">
        <v>168</v>
      </c>
      <c r="B25" s="2" t="s">
        <v>169</v>
      </c>
      <c r="C25" s="3" t="s">
        <v>155</v>
      </c>
      <c r="D25" s="3" t="s">
        <v>170</v>
      </c>
      <c r="E25" s="3" t="s">
        <v>171</v>
      </c>
      <c r="F25" s="3" t="s">
        <v>172</v>
      </c>
      <c r="G25" s="3" t="s">
        <v>173</v>
      </c>
      <c r="H25" s="3" t="s">
        <v>174</v>
      </c>
      <c r="I25" s="4" t="s">
        <v>19</v>
      </c>
      <c r="J25" s="2" t="s">
        <v>76</v>
      </c>
      <c r="K25" s="2" t="s">
        <v>21</v>
      </c>
    </row>
    <row r="26" customFormat="false" ht="23.85" hidden="false" customHeight="false" outlineLevel="0" collapsed="false">
      <c r="A26" s="2" t="s">
        <v>175</v>
      </c>
      <c r="B26" s="2" t="s">
        <v>169</v>
      </c>
      <c r="C26" s="3" t="s">
        <v>155</v>
      </c>
      <c r="D26" s="3" t="s">
        <v>176</v>
      </c>
      <c r="E26" s="3" t="s">
        <v>177</v>
      </c>
      <c r="F26" s="3" t="s">
        <v>178</v>
      </c>
      <c r="G26" s="3" t="s">
        <v>179</v>
      </c>
      <c r="H26" s="3" t="s">
        <v>180</v>
      </c>
      <c r="I26" s="5" t="s">
        <v>42</v>
      </c>
      <c r="J26" s="2" t="s">
        <v>76</v>
      </c>
      <c r="K26" s="2" t="s">
        <v>21</v>
      </c>
    </row>
    <row r="27" customFormat="false" ht="23.85" hidden="false" customHeight="false" outlineLevel="0" collapsed="false">
      <c r="A27" s="2" t="s">
        <v>181</v>
      </c>
      <c r="B27" s="2" t="s">
        <v>182</v>
      </c>
      <c r="C27" s="3" t="s">
        <v>155</v>
      </c>
      <c r="D27" s="3" t="s">
        <v>183</v>
      </c>
      <c r="E27" s="3" t="s">
        <v>184</v>
      </c>
      <c r="F27" s="3" t="s">
        <v>185</v>
      </c>
      <c r="G27" s="3" t="s">
        <v>186</v>
      </c>
      <c r="H27" s="3" t="s">
        <v>187</v>
      </c>
      <c r="I27" s="5" t="s">
        <v>42</v>
      </c>
      <c r="J27" s="2" t="s">
        <v>20</v>
      </c>
      <c r="K27" s="2" t="s">
        <v>21</v>
      </c>
    </row>
    <row r="28" customFormat="false" ht="23.85" hidden="false" customHeight="false" outlineLevel="0" collapsed="false">
      <c r="A28" s="2" t="s">
        <v>188</v>
      </c>
      <c r="B28" s="2" t="s">
        <v>182</v>
      </c>
      <c r="C28" s="3" t="s">
        <v>155</v>
      </c>
      <c r="D28" s="3" t="s">
        <v>189</v>
      </c>
      <c r="E28" s="3" t="s">
        <v>190</v>
      </c>
      <c r="F28" s="3" t="s">
        <v>191</v>
      </c>
      <c r="G28" s="3" t="s">
        <v>192</v>
      </c>
      <c r="H28" s="3" t="s">
        <v>193</v>
      </c>
      <c r="I28" s="6" t="s">
        <v>75</v>
      </c>
      <c r="J28" s="2" t="s">
        <v>35</v>
      </c>
      <c r="K28" s="2" t="s">
        <v>21</v>
      </c>
    </row>
    <row r="29" customFormat="false" ht="23.85" hidden="false" customHeight="false" outlineLevel="0" collapsed="false">
      <c r="A29" s="2" t="s">
        <v>194</v>
      </c>
      <c r="B29" s="2" t="s">
        <v>195</v>
      </c>
      <c r="C29" s="3" t="s">
        <v>155</v>
      </c>
      <c r="D29" s="3" t="s">
        <v>196</v>
      </c>
      <c r="E29" s="3" t="s">
        <v>197</v>
      </c>
      <c r="F29" s="3" t="s">
        <v>198</v>
      </c>
      <c r="G29" s="3" t="s">
        <v>199</v>
      </c>
      <c r="H29" s="3" t="s">
        <v>200</v>
      </c>
      <c r="I29" s="4" t="s">
        <v>19</v>
      </c>
      <c r="J29" s="2" t="s">
        <v>35</v>
      </c>
      <c r="K29" s="2" t="s">
        <v>21</v>
      </c>
    </row>
    <row r="30" customFormat="false" ht="35.05" hidden="false" customHeight="false" outlineLevel="0" collapsed="false">
      <c r="A30" s="2" t="s">
        <v>201</v>
      </c>
      <c r="B30" s="2" t="s">
        <v>202</v>
      </c>
      <c r="C30" s="3" t="s">
        <v>155</v>
      </c>
      <c r="D30" s="3" t="s">
        <v>203</v>
      </c>
      <c r="E30" s="3" t="s">
        <v>204</v>
      </c>
      <c r="F30" s="3" t="s">
        <v>205</v>
      </c>
      <c r="G30" s="3" t="s">
        <v>206</v>
      </c>
      <c r="H30" s="3" t="s">
        <v>207</v>
      </c>
      <c r="I30" s="5" t="s">
        <v>42</v>
      </c>
      <c r="J30" s="2" t="s">
        <v>76</v>
      </c>
      <c r="K30" s="2" t="s">
        <v>21</v>
      </c>
    </row>
    <row r="31" customFormat="false" ht="23.85" hidden="false" customHeight="false" outlineLevel="0" collapsed="false">
      <c r="A31" s="2" t="s">
        <v>208</v>
      </c>
      <c r="B31" s="2" t="s">
        <v>209</v>
      </c>
      <c r="C31" s="3" t="s">
        <v>210</v>
      </c>
      <c r="D31" s="3" t="s">
        <v>211</v>
      </c>
      <c r="E31" s="3" t="s">
        <v>212</v>
      </c>
      <c r="F31" s="3" t="s">
        <v>213</v>
      </c>
      <c r="G31" s="3" t="s">
        <v>214</v>
      </c>
      <c r="H31" s="3" t="s">
        <v>215</v>
      </c>
      <c r="I31" s="4" t="s">
        <v>19</v>
      </c>
      <c r="J31" s="2" t="s">
        <v>35</v>
      </c>
      <c r="K31" s="2" t="s">
        <v>21</v>
      </c>
    </row>
    <row r="32" customFormat="false" ht="23.85" hidden="false" customHeight="false" outlineLevel="0" collapsed="false">
      <c r="A32" s="2" t="s">
        <v>216</v>
      </c>
      <c r="B32" s="2" t="s">
        <v>209</v>
      </c>
      <c r="C32" s="3" t="s">
        <v>210</v>
      </c>
      <c r="D32" s="3" t="s">
        <v>217</v>
      </c>
      <c r="E32" s="3" t="s">
        <v>218</v>
      </c>
      <c r="F32" s="3" t="s">
        <v>219</v>
      </c>
      <c r="G32" s="3" t="s">
        <v>220</v>
      </c>
      <c r="H32" s="3" t="s">
        <v>221</v>
      </c>
      <c r="I32" s="4" t="s">
        <v>19</v>
      </c>
      <c r="J32" s="2" t="s">
        <v>20</v>
      </c>
      <c r="K32" s="2" t="s">
        <v>21</v>
      </c>
    </row>
    <row r="33" customFormat="false" ht="23.85" hidden="false" customHeight="false" outlineLevel="0" collapsed="false">
      <c r="A33" s="2" t="s">
        <v>222</v>
      </c>
      <c r="B33" s="2" t="s">
        <v>223</v>
      </c>
      <c r="C33" s="3" t="s">
        <v>210</v>
      </c>
      <c r="D33" s="3" t="s">
        <v>224</v>
      </c>
      <c r="E33" s="3" t="s">
        <v>225</v>
      </c>
      <c r="F33" s="3" t="s">
        <v>226</v>
      </c>
      <c r="G33" s="3" t="s">
        <v>151</v>
      </c>
      <c r="H33" s="3" t="s">
        <v>227</v>
      </c>
      <c r="I33" s="5" t="s">
        <v>42</v>
      </c>
      <c r="J33" s="2" t="s">
        <v>20</v>
      </c>
      <c r="K33" s="2" t="s">
        <v>21</v>
      </c>
    </row>
    <row r="34" customFormat="false" ht="35.05" hidden="false" customHeight="false" outlineLevel="0" collapsed="false">
      <c r="A34" s="2" t="s">
        <v>228</v>
      </c>
      <c r="B34" s="2" t="s">
        <v>229</v>
      </c>
      <c r="C34" s="3" t="s">
        <v>210</v>
      </c>
      <c r="D34" s="3" t="s">
        <v>230</v>
      </c>
      <c r="E34" s="3" t="s">
        <v>231</v>
      </c>
      <c r="F34" s="3" t="s">
        <v>232</v>
      </c>
      <c r="G34" s="3" t="s">
        <v>233</v>
      </c>
      <c r="H34" s="3" t="s">
        <v>234</v>
      </c>
      <c r="I34" s="4" t="s">
        <v>19</v>
      </c>
      <c r="J34" s="2" t="s">
        <v>35</v>
      </c>
      <c r="K34" s="2" t="s">
        <v>21</v>
      </c>
    </row>
    <row r="35" customFormat="false" ht="23.85" hidden="false" customHeight="false" outlineLevel="0" collapsed="false">
      <c r="A35" s="2" t="s">
        <v>235</v>
      </c>
      <c r="B35" s="2" t="s">
        <v>236</v>
      </c>
      <c r="C35" s="3" t="s">
        <v>237</v>
      </c>
      <c r="D35" s="3" t="s">
        <v>238</v>
      </c>
      <c r="E35" s="3" t="s">
        <v>239</v>
      </c>
      <c r="F35" s="3" t="s">
        <v>240</v>
      </c>
      <c r="G35" s="3" t="s">
        <v>241</v>
      </c>
      <c r="H35" s="3" t="s">
        <v>242</v>
      </c>
      <c r="I35" s="4" t="s">
        <v>19</v>
      </c>
      <c r="J35" s="2" t="s">
        <v>20</v>
      </c>
      <c r="K35" s="2" t="s">
        <v>21</v>
      </c>
    </row>
    <row r="36" customFormat="false" ht="23.85" hidden="false" customHeight="false" outlineLevel="0" collapsed="false">
      <c r="A36" s="2" t="s">
        <v>243</v>
      </c>
      <c r="B36" s="2" t="s">
        <v>244</v>
      </c>
      <c r="C36" s="3" t="s">
        <v>237</v>
      </c>
      <c r="D36" s="3" t="s">
        <v>245</v>
      </c>
      <c r="E36" s="3" t="s">
        <v>246</v>
      </c>
      <c r="F36" s="3" t="s">
        <v>247</v>
      </c>
      <c r="G36" s="3" t="s">
        <v>248</v>
      </c>
      <c r="H36" s="3" t="s">
        <v>249</v>
      </c>
      <c r="I36" s="4" t="s">
        <v>19</v>
      </c>
      <c r="J36" s="2" t="s">
        <v>20</v>
      </c>
      <c r="K36" s="2" t="s">
        <v>21</v>
      </c>
    </row>
    <row r="37" customFormat="false" ht="23.85" hidden="false" customHeight="false" outlineLevel="0" collapsed="false">
      <c r="A37" s="2" t="s">
        <v>250</v>
      </c>
      <c r="B37" s="2" t="s">
        <v>251</v>
      </c>
      <c r="C37" s="3" t="s">
        <v>237</v>
      </c>
      <c r="D37" s="3" t="s">
        <v>252</v>
      </c>
      <c r="E37" s="3" t="s">
        <v>253</v>
      </c>
      <c r="F37" s="3" t="s">
        <v>254</v>
      </c>
      <c r="G37" s="3" t="s">
        <v>255</v>
      </c>
      <c r="H37" s="3" t="s">
        <v>256</v>
      </c>
      <c r="I37" s="4" t="s">
        <v>19</v>
      </c>
      <c r="J37" s="2" t="s">
        <v>35</v>
      </c>
      <c r="K37" s="2" t="s">
        <v>21</v>
      </c>
    </row>
    <row r="38" customFormat="false" ht="23.85" hidden="false" customHeight="false" outlineLevel="0" collapsed="false">
      <c r="A38" s="2" t="s">
        <v>257</v>
      </c>
      <c r="B38" s="2" t="s">
        <v>251</v>
      </c>
      <c r="C38" s="3" t="s">
        <v>237</v>
      </c>
      <c r="D38" s="3" t="s">
        <v>258</v>
      </c>
      <c r="E38" s="3" t="s">
        <v>259</v>
      </c>
      <c r="F38" s="3" t="s">
        <v>260</v>
      </c>
      <c r="G38" s="3" t="s">
        <v>261</v>
      </c>
      <c r="H38" s="3" t="s">
        <v>262</v>
      </c>
      <c r="I38" s="4" t="s">
        <v>19</v>
      </c>
      <c r="J38" s="2" t="s">
        <v>35</v>
      </c>
      <c r="K38" s="2" t="s">
        <v>21</v>
      </c>
    </row>
    <row r="39" customFormat="false" ht="23.85" hidden="false" customHeight="false" outlineLevel="0" collapsed="false">
      <c r="A39" s="2" t="s">
        <v>263</v>
      </c>
      <c r="B39" s="2" t="s">
        <v>264</v>
      </c>
      <c r="C39" s="3" t="s">
        <v>237</v>
      </c>
      <c r="D39" s="3" t="s">
        <v>265</v>
      </c>
      <c r="E39" s="3" t="s">
        <v>266</v>
      </c>
      <c r="F39" s="3" t="s">
        <v>267</v>
      </c>
      <c r="G39" s="3" t="s">
        <v>268</v>
      </c>
      <c r="H39" s="3" t="s">
        <v>269</v>
      </c>
      <c r="I39" s="4" t="s">
        <v>19</v>
      </c>
      <c r="J39" s="2" t="s">
        <v>20</v>
      </c>
      <c r="K39" s="2" t="s">
        <v>21</v>
      </c>
    </row>
    <row r="40" customFormat="false" ht="23.85" hidden="false" customHeight="false" outlineLevel="0" collapsed="false">
      <c r="A40" s="2" t="s">
        <v>270</v>
      </c>
      <c r="B40" s="2" t="s">
        <v>264</v>
      </c>
      <c r="C40" s="3" t="s">
        <v>237</v>
      </c>
      <c r="D40" s="3" t="s">
        <v>271</v>
      </c>
      <c r="E40" s="3" t="s">
        <v>272</v>
      </c>
      <c r="F40" s="3" t="s">
        <v>273</v>
      </c>
      <c r="G40" s="3" t="s">
        <v>274</v>
      </c>
      <c r="H40" s="3" t="s">
        <v>275</v>
      </c>
      <c r="I40" s="4" t="s">
        <v>19</v>
      </c>
      <c r="J40" s="2" t="s">
        <v>35</v>
      </c>
      <c r="K40" s="2" t="s">
        <v>21</v>
      </c>
    </row>
    <row r="41" customFormat="false" ht="23.85" hidden="false" customHeight="false" outlineLevel="0" collapsed="false">
      <c r="A41" s="2" t="s">
        <v>276</v>
      </c>
      <c r="B41" s="2" t="s">
        <v>277</v>
      </c>
      <c r="C41" s="3" t="s">
        <v>237</v>
      </c>
      <c r="D41" s="3" t="s">
        <v>278</v>
      </c>
      <c r="E41" s="3" t="s">
        <v>279</v>
      </c>
      <c r="F41" s="3" t="s">
        <v>280</v>
      </c>
      <c r="G41" s="3" t="s">
        <v>281</v>
      </c>
      <c r="H41" s="3" t="s">
        <v>282</v>
      </c>
      <c r="I41" s="5" t="s">
        <v>42</v>
      </c>
      <c r="J41" s="2" t="s">
        <v>76</v>
      </c>
      <c r="K41" s="2" t="s">
        <v>21</v>
      </c>
    </row>
    <row r="42" customFormat="false" ht="23.85" hidden="false" customHeight="false" outlineLevel="0" collapsed="false">
      <c r="A42" s="2" t="s">
        <v>283</v>
      </c>
      <c r="B42" s="2" t="s">
        <v>277</v>
      </c>
      <c r="C42" s="3" t="s">
        <v>237</v>
      </c>
      <c r="D42" s="3" t="s">
        <v>284</v>
      </c>
      <c r="E42" s="3" t="s">
        <v>279</v>
      </c>
      <c r="F42" s="3" t="s">
        <v>285</v>
      </c>
      <c r="G42" s="3" t="s">
        <v>286</v>
      </c>
      <c r="H42" s="3" t="s">
        <v>287</v>
      </c>
      <c r="I42" s="4" t="s">
        <v>19</v>
      </c>
      <c r="J42" s="2" t="s">
        <v>35</v>
      </c>
      <c r="K42" s="2" t="s">
        <v>21</v>
      </c>
    </row>
    <row r="43" customFormat="false" ht="23.85" hidden="false" customHeight="false" outlineLevel="0" collapsed="false">
      <c r="A43" s="2" t="s">
        <v>288</v>
      </c>
      <c r="B43" s="2" t="s">
        <v>289</v>
      </c>
      <c r="C43" s="3" t="s">
        <v>237</v>
      </c>
      <c r="D43" s="3" t="s">
        <v>290</v>
      </c>
      <c r="E43" s="3" t="s">
        <v>291</v>
      </c>
      <c r="F43" s="3" t="s">
        <v>292</v>
      </c>
      <c r="G43" s="3" t="s">
        <v>293</v>
      </c>
      <c r="H43" s="3" t="s">
        <v>294</v>
      </c>
      <c r="I43" s="4" t="s">
        <v>19</v>
      </c>
      <c r="J43" s="2" t="s">
        <v>35</v>
      </c>
      <c r="K43" s="2" t="s">
        <v>21</v>
      </c>
    </row>
    <row r="44" customFormat="false" ht="35.05" hidden="false" customHeight="false" outlineLevel="0" collapsed="false">
      <c r="A44" s="2" t="s">
        <v>295</v>
      </c>
      <c r="B44" s="2" t="s">
        <v>296</v>
      </c>
      <c r="C44" s="3" t="s">
        <v>237</v>
      </c>
      <c r="D44" s="3" t="s">
        <v>297</v>
      </c>
      <c r="E44" s="3" t="s">
        <v>298</v>
      </c>
      <c r="F44" s="3" t="s">
        <v>299</v>
      </c>
      <c r="G44" s="3" t="s">
        <v>300</v>
      </c>
      <c r="H44" s="3" t="s">
        <v>301</v>
      </c>
      <c r="I44" s="4" t="s">
        <v>19</v>
      </c>
      <c r="J44" s="2" t="s">
        <v>35</v>
      </c>
      <c r="K44" s="2" t="s">
        <v>21</v>
      </c>
    </row>
    <row r="45" customFormat="false" ht="23.85" hidden="false" customHeight="false" outlineLevel="0" collapsed="false">
      <c r="A45" s="2" t="s">
        <v>302</v>
      </c>
      <c r="B45" s="2" t="s">
        <v>296</v>
      </c>
      <c r="C45" s="3" t="s">
        <v>237</v>
      </c>
      <c r="D45" s="3" t="s">
        <v>303</v>
      </c>
      <c r="E45" s="3" t="s">
        <v>304</v>
      </c>
      <c r="F45" s="3" t="s">
        <v>305</v>
      </c>
      <c r="G45" s="3" t="s">
        <v>306</v>
      </c>
      <c r="H45" s="3" t="s">
        <v>307</v>
      </c>
      <c r="I45" s="4" t="s">
        <v>19</v>
      </c>
      <c r="J45" s="2" t="s">
        <v>35</v>
      </c>
      <c r="K45" s="2" t="s">
        <v>21</v>
      </c>
    </row>
    <row r="46" customFormat="false" ht="23.85" hidden="false" customHeight="false" outlineLevel="0" collapsed="false">
      <c r="A46" s="2" t="s">
        <v>308</v>
      </c>
      <c r="B46" s="2" t="s">
        <v>309</v>
      </c>
      <c r="C46" s="3" t="s">
        <v>237</v>
      </c>
      <c r="D46" s="3" t="s">
        <v>310</v>
      </c>
      <c r="E46" s="3" t="s">
        <v>311</v>
      </c>
      <c r="F46" s="3" t="s">
        <v>312</v>
      </c>
      <c r="G46" s="3" t="s">
        <v>151</v>
      </c>
      <c r="H46" s="3" t="s">
        <v>313</v>
      </c>
      <c r="I46" s="5" t="s">
        <v>42</v>
      </c>
      <c r="J46" s="2" t="s">
        <v>20</v>
      </c>
      <c r="K46" s="2" t="s">
        <v>21</v>
      </c>
    </row>
    <row r="47" customFormat="false" ht="23.85" hidden="false" customHeight="false" outlineLevel="0" collapsed="false">
      <c r="A47" s="2" t="s">
        <v>314</v>
      </c>
      <c r="B47" s="2" t="s">
        <v>315</v>
      </c>
      <c r="C47" s="3" t="s">
        <v>316</v>
      </c>
      <c r="D47" s="3" t="s">
        <v>317</v>
      </c>
      <c r="E47" s="3" t="s">
        <v>318</v>
      </c>
      <c r="F47" s="3" t="s">
        <v>319</v>
      </c>
      <c r="G47" s="3" t="s">
        <v>320</v>
      </c>
      <c r="H47" s="3" t="s">
        <v>321</v>
      </c>
      <c r="I47" s="5" t="s">
        <v>42</v>
      </c>
      <c r="J47" s="2" t="s">
        <v>20</v>
      </c>
      <c r="K47" s="2" t="s">
        <v>21</v>
      </c>
    </row>
    <row r="48" customFormat="false" ht="23.85" hidden="false" customHeight="false" outlineLevel="0" collapsed="false">
      <c r="A48" s="2" t="s">
        <v>322</v>
      </c>
      <c r="B48" s="2" t="s">
        <v>323</v>
      </c>
      <c r="C48" s="3" t="s">
        <v>316</v>
      </c>
      <c r="D48" s="3" t="s">
        <v>324</v>
      </c>
      <c r="E48" s="3" t="s">
        <v>325</v>
      </c>
      <c r="F48" s="3" t="s">
        <v>326</v>
      </c>
      <c r="G48" s="3" t="s">
        <v>327</v>
      </c>
      <c r="H48" s="3" t="s">
        <v>328</v>
      </c>
      <c r="I48" s="5" t="s">
        <v>42</v>
      </c>
      <c r="J48" s="2" t="s">
        <v>20</v>
      </c>
      <c r="K48" s="2" t="s">
        <v>21</v>
      </c>
    </row>
    <row r="49" customFormat="false" ht="23.85" hidden="false" customHeight="false" outlineLevel="0" collapsed="false">
      <c r="A49" s="2" t="s">
        <v>329</v>
      </c>
      <c r="B49" s="2" t="s">
        <v>330</v>
      </c>
      <c r="C49" s="3" t="s">
        <v>316</v>
      </c>
      <c r="D49" s="3" t="s">
        <v>331</v>
      </c>
      <c r="E49" s="3" t="s">
        <v>332</v>
      </c>
      <c r="F49" s="3" t="s">
        <v>333</v>
      </c>
      <c r="G49" s="3" t="s">
        <v>334</v>
      </c>
      <c r="H49" s="3" t="s">
        <v>335</v>
      </c>
      <c r="I49" s="5" t="s">
        <v>42</v>
      </c>
      <c r="J49" s="2" t="s">
        <v>20</v>
      </c>
      <c r="K49" s="2" t="s">
        <v>21</v>
      </c>
    </row>
    <row r="50" customFormat="false" ht="23.85" hidden="false" customHeight="false" outlineLevel="0" collapsed="false">
      <c r="A50" s="2" t="s">
        <v>336</v>
      </c>
      <c r="B50" s="2" t="s">
        <v>337</v>
      </c>
      <c r="C50" s="3" t="s">
        <v>316</v>
      </c>
      <c r="D50" s="3" t="s">
        <v>338</v>
      </c>
      <c r="E50" s="3" t="s">
        <v>339</v>
      </c>
      <c r="F50" s="3" t="s">
        <v>340</v>
      </c>
      <c r="G50" s="3" t="s">
        <v>341</v>
      </c>
      <c r="H50" s="3" t="s">
        <v>342</v>
      </c>
      <c r="I50" s="5" t="s">
        <v>42</v>
      </c>
      <c r="J50" s="2" t="s">
        <v>20</v>
      </c>
      <c r="K50" s="2" t="s">
        <v>21</v>
      </c>
    </row>
    <row r="51" customFormat="false" ht="23.85" hidden="false" customHeight="false" outlineLevel="0" collapsed="false">
      <c r="A51" s="2" t="s">
        <v>343</v>
      </c>
      <c r="B51" s="2" t="s">
        <v>344</v>
      </c>
      <c r="C51" s="3" t="s">
        <v>345</v>
      </c>
      <c r="D51" s="3" t="s">
        <v>346</v>
      </c>
      <c r="E51" s="3" t="s">
        <v>347</v>
      </c>
      <c r="F51" s="3" t="s">
        <v>348</v>
      </c>
      <c r="G51" s="3" t="s">
        <v>349</v>
      </c>
      <c r="H51" s="3" t="s">
        <v>350</v>
      </c>
      <c r="I51" s="4" t="s">
        <v>19</v>
      </c>
      <c r="J51" s="2" t="s">
        <v>20</v>
      </c>
      <c r="K51" s="2" t="s">
        <v>21</v>
      </c>
    </row>
    <row r="52" customFormat="false" ht="23.85" hidden="false" customHeight="false" outlineLevel="0" collapsed="false">
      <c r="A52" s="2" t="s">
        <v>351</v>
      </c>
      <c r="B52" s="2" t="s">
        <v>344</v>
      </c>
      <c r="C52" s="3" t="s">
        <v>345</v>
      </c>
      <c r="D52" s="3" t="s">
        <v>352</v>
      </c>
      <c r="E52" s="3" t="s">
        <v>353</v>
      </c>
      <c r="F52" s="3" t="s">
        <v>354</v>
      </c>
      <c r="G52" s="3" t="s">
        <v>355</v>
      </c>
      <c r="H52" s="3" t="s">
        <v>356</v>
      </c>
      <c r="I52" s="4" t="s">
        <v>19</v>
      </c>
      <c r="J52" s="2" t="s">
        <v>20</v>
      </c>
      <c r="K52" s="2" t="s">
        <v>21</v>
      </c>
    </row>
    <row r="53" customFormat="false" ht="23.85" hidden="false" customHeight="false" outlineLevel="0" collapsed="false">
      <c r="A53" s="2" t="s">
        <v>357</v>
      </c>
      <c r="B53" s="2" t="s">
        <v>358</v>
      </c>
      <c r="C53" s="3" t="s">
        <v>345</v>
      </c>
      <c r="D53" s="3" t="s">
        <v>359</v>
      </c>
      <c r="E53" s="3" t="s">
        <v>360</v>
      </c>
      <c r="F53" s="3" t="s">
        <v>361</v>
      </c>
      <c r="G53" s="3" t="s">
        <v>362</v>
      </c>
      <c r="H53" s="3" t="s">
        <v>363</v>
      </c>
      <c r="I53" s="4" t="s">
        <v>19</v>
      </c>
      <c r="J53" s="2" t="s">
        <v>35</v>
      </c>
      <c r="K53" s="2" t="s">
        <v>21</v>
      </c>
    </row>
    <row r="54" customFormat="false" ht="23.85" hidden="false" customHeight="false" outlineLevel="0" collapsed="false">
      <c r="A54" s="2" t="s">
        <v>364</v>
      </c>
      <c r="B54" s="2" t="s">
        <v>358</v>
      </c>
      <c r="C54" s="3" t="s">
        <v>345</v>
      </c>
      <c r="D54" s="3" t="s">
        <v>365</v>
      </c>
      <c r="E54" s="3" t="s">
        <v>366</v>
      </c>
      <c r="F54" s="3" t="s">
        <v>354</v>
      </c>
      <c r="G54" s="3" t="s">
        <v>367</v>
      </c>
      <c r="H54" s="3" t="s">
        <v>368</v>
      </c>
      <c r="I54" s="4" t="s">
        <v>19</v>
      </c>
      <c r="J54" s="2" t="s">
        <v>35</v>
      </c>
      <c r="K54" s="2" t="s">
        <v>21</v>
      </c>
    </row>
    <row r="55" customFormat="false" ht="23.85" hidden="false" customHeight="false" outlineLevel="0" collapsed="false">
      <c r="A55" s="2" t="s">
        <v>369</v>
      </c>
      <c r="B55" s="2" t="s">
        <v>370</v>
      </c>
      <c r="C55" s="3" t="s">
        <v>345</v>
      </c>
      <c r="D55" s="3" t="s">
        <v>371</v>
      </c>
      <c r="E55" s="3" t="s">
        <v>372</v>
      </c>
      <c r="F55" s="3" t="s">
        <v>373</v>
      </c>
      <c r="G55" s="3" t="s">
        <v>374</v>
      </c>
      <c r="H55" s="3" t="s">
        <v>375</v>
      </c>
      <c r="I55" s="4" t="s">
        <v>19</v>
      </c>
      <c r="J55" s="2" t="s">
        <v>35</v>
      </c>
      <c r="K55" s="2" t="s">
        <v>21</v>
      </c>
    </row>
    <row r="56" customFormat="false" ht="23.85" hidden="false" customHeight="false" outlineLevel="0" collapsed="false">
      <c r="A56" s="2" t="s">
        <v>376</v>
      </c>
      <c r="B56" s="2" t="s">
        <v>370</v>
      </c>
      <c r="C56" s="3" t="s">
        <v>345</v>
      </c>
      <c r="D56" s="3" t="s">
        <v>377</v>
      </c>
      <c r="E56" s="3" t="s">
        <v>378</v>
      </c>
      <c r="F56" s="3" t="s">
        <v>379</v>
      </c>
      <c r="G56" s="3" t="s">
        <v>380</v>
      </c>
      <c r="H56" s="3" t="s">
        <v>381</v>
      </c>
      <c r="I56" s="4" t="s">
        <v>19</v>
      </c>
      <c r="J56" s="2" t="s">
        <v>35</v>
      </c>
      <c r="K56" s="2" t="s">
        <v>21</v>
      </c>
    </row>
    <row r="57" customFormat="false" ht="23.85" hidden="false" customHeight="false" outlineLevel="0" collapsed="false">
      <c r="A57" s="2" t="s">
        <v>382</v>
      </c>
      <c r="B57" s="2" t="s">
        <v>383</v>
      </c>
      <c r="C57" s="3" t="s">
        <v>345</v>
      </c>
      <c r="D57" s="3" t="s">
        <v>384</v>
      </c>
      <c r="E57" s="3" t="s">
        <v>385</v>
      </c>
      <c r="F57" s="3" t="s">
        <v>386</v>
      </c>
      <c r="G57" s="3" t="s">
        <v>387</v>
      </c>
      <c r="H57" s="3" t="s">
        <v>388</v>
      </c>
      <c r="I57" s="5" t="s">
        <v>42</v>
      </c>
      <c r="J57" s="2" t="s">
        <v>20</v>
      </c>
      <c r="K57" s="2" t="s">
        <v>21</v>
      </c>
    </row>
    <row r="58" customFormat="false" ht="23.85" hidden="false" customHeight="false" outlineLevel="0" collapsed="false">
      <c r="A58" s="2" t="s">
        <v>389</v>
      </c>
      <c r="B58" s="2" t="s">
        <v>383</v>
      </c>
      <c r="C58" s="3" t="s">
        <v>345</v>
      </c>
      <c r="D58" s="3" t="s">
        <v>390</v>
      </c>
      <c r="E58" s="3" t="s">
        <v>391</v>
      </c>
      <c r="F58" s="3" t="s">
        <v>392</v>
      </c>
      <c r="G58" s="3" t="s">
        <v>393</v>
      </c>
      <c r="H58" s="3" t="s">
        <v>394</v>
      </c>
      <c r="I58" s="5" t="s">
        <v>42</v>
      </c>
      <c r="J58" s="2" t="s">
        <v>20</v>
      </c>
      <c r="K58" s="2" t="s">
        <v>21</v>
      </c>
    </row>
    <row r="59" customFormat="false" ht="35.05" hidden="false" customHeight="false" outlineLevel="0" collapsed="false">
      <c r="A59" s="2" t="s">
        <v>395</v>
      </c>
      <c r="B59" s="2" t="s">
        <v>396</v>
      </c>
      <c r="C59" s="3" t="s">
        <v>397</v>
      </c>
      <c r="D59" s="3" t="s">
        <v>398</v>
      </c>
      <c r="E59" s="3" t="s">
        <v>399</v>
      </c>
      <c r="F59" s="3" t="s">
        <v>400</v>
      </c>
      <c r="G59" s="3" t="s">
        <v>151</v>
      </c>
      <c r="H59" s="3" t="s">
        <v>401</v>
      </c>
      <c r="I59" s="5" t="s">
        <v>42</v>
      </c>
      <c r="J59" s="2" t="s">
        <v>20</v>
      </c>
      <c r="K59" s="2" t="s">
        <v>21</v>
      </c>
    </row>
    <row r="60" customFormat="false" ht="23.85" hidden="false" customHeight="false" outlineLevel="0" collapsed="false">
      <c r="A60" s="2" t="s">
        <v>402</v>
      </c>
      <c r="B60" s="2" t="s">
        <v>396</v>
      </c>
      <c r="C60" s="3" t="s">
        <v>397</v>
      </c>
      <c r="D60" s="3" t="s">
        <v>403</v>
      </c>
      <c r="E60" s="3" t="s">
        <v>404</v>
      </c>
      <c r="F60" s="3" t="s">
        <v>405</v>
      </c>
      <c r="G60" s="3" t="s">
        <v>151</v>
      </c>
      <c r="H60" s="3" t="s">
        <v>406</v>
      </c>
      <c r="I60" s="5" t="s">
        <v>42</v>
      </c>
      <c r="J60" s="2" t="s">
        <v>20</v>
      </c>
      <c r="K60" s="2" t="s">
        <v>21</v>
      </c>
    </row>
    <row r="61" customFormat="false" ht="35.05" hidden="false" customHeight="false" outlineLevel="0" collapsed="false">
      <c r="A61" s="2" t="s">
        <v>407</v>
      </c>
      <c r="B61" s="2" t="s">
        <v>408</v>
      </c>
      <c r="C61" s="3" t="s">
        <v>397</v>
      </c>
      <c r="D61" s="3" t="s">
        <v>409</v>
      </c>
      <c r="E61" s="3" t="s">
        <v>410</v>
      </c>
      <c r="F61" s="3" t="s">
        <v>411</v>
      </c>
      <c r="G61" s="3" t="s">
        <v>412</v>
      </c>
      <c r="H61" s="3" t="s">
        <v>413</v>
      </c>
      <c r="I61" s="5" t="s">
        <v>42</v>
      </c>
      <c r="J61" s="2" t="s">
        <v>20</v>
      </c>
      <c r="K61" s="2" t="s">
        <v>21</v>
      </c>
    </row>
    <row r="62" customFormat="false" ht="35.05" hidden="false" customHeight="false" outlineLevel="0" collapsed="false">
      <c r="A62" s="2" t="s">
        <v>414</v>
      </c>
      <c r="B62" s="2" t="s">
        <v>415</v>
      </c>
      <c r="C62" s="3" t="s">
        <v>397</v>
      </c>
      <c r="D62" s="3" t="s">
        <v>416</v>
      </c>
      <c r="E62" s="3" t="s">
        <v>417</v>
      </c>
      <c r="F62" s="3" t="s">
        <v>418</v>
      </c>
      <c r="G62" s="3" t="s">
        <v>419</v>
      </c>
      <c r="H62" s="3" t="s">
        <v>420</v>
      </c>
      <c r="I62" s="5" t="s">
        <v>42</v>
      </c>
      <c r="J62" s="2" t="s">
        <v>20</v>
      </c>
      <c r="K62" s="2" t="s">
        <v>21</v>
      </c>
    </row>
    <row r="63" customFormat="false" ht="23.85" hidden="false" customHeight="false" outlineLevel="0" collapsed="false">
      <c r="A63" s="2" t="s">
        <v>421</v>
      </c>
      <c r="B63" s="2" t="s">
        <v>12</v>
      </c>
      <c r="C63" s="3" t="s">
        <v>13</v>
      </c>
      <c r="D63" s="3" t="s">
        <v>422</v>
      </c>
      <c r="E63" s="3" t="s">
        <v>423</v>
      </c>
      <c r="F63" s="3" t="s">
        <v>424</v>
      </c>
      <c r="G63" s="3" t="s">
        <v>425</v>
      </c>
      <c r="H63" s="3" t="s">
        <v>426</v>
      </c>
      <c r="I63" s="6" t="s">
        <v>75</v>
      </c>
      <c r="J63" s="2" t="s">
        <v>35</v>
      </c>
      <c r="K63" s="2" t="s">
        <v>21</v>
      </c>
    </row>
    <row r="64" customFormat="false" ht="23.85" hidden="false" customHeight="false" outlineLevel="0" collapsed="false">
      <c r="A64" s="2" t="s">
        <v>427</v>
      </c>
      <c r="B64" s="2" t="s">
        <v>29</v>
      </c>
      <c r="C64" s="3" t="s">
        <v>13</v>
      </c>
      <c r="D64" s="3" t="s">
        <v>428</v>
      </c>
      <c r="E64" s="3" t="s">
        <v>38</v>
      </c>
      <c r="F64" s="3" t="s">
        <v>429</v>
      </c>
      <c r="G64" s="3" t="s">
        <v>430</v>
      </c>
      <c r="H64" s="3" t="s">
        <v>431</v>
      </c>
      <c r="I64" s="4" t="s">
        <v>19</v>
      </c>
      <c r="J64" s="2" t="s">
        <v>35</v>
      </c>
      <c r="K64" s="2" t="s">
        <v>21</v>
      </c>
    </row>
    <row r="65" customFormat="false" ht="23.85" hidden="false" customHeight="false" outlineLevel="0" collapsed="false">
      <c r="A65" s="2" t="s">
        <v>432</v>
      </c>
      <c r="B65" s="2" t="s">
        <v>44</v>
      </c>
      <c r="C65" s="3" t="s">
        <v>13</v>
      </c>
      <c r="D65" s="3" t="s">
        <v>433</v>
      </c>
      <c r="E65" s="3" t="s">
        <v>59</v>
      </c>
      <c r="F65" s="3" t="s">
        <v>434</v>
      </c>
      <c r="G65" s="3" t="s">
        <v>435</v>
      </c>
      <c r="H65" s="3" t="s">
        <v>436</v>
      </c>
      <c r="I65" s="5" t="s">
        <v>42</v>
      </c>
      <c r="J65" s="2" t="s">
        <v>35</v>
      </c>
      <c r="K65" s="2" t="s">
        <v>21</v>
      </c>
    </row>
    <row r="66" customFormat="false" ht="23.85" hidden="false" customHeight="false" outlineLevel="0" collapsed="false">
      <c r="A66" s="2" t="s">
        <v>437</v>
      </c>
      <c r="B66" s="2" t="s">
        <v>64</v>
      </c>
      <c r="C66" s="3" t="s">
        <v>65</v>
      </c>
      <c r="D66" s="3" t="s">
        <v>438</v>
      </c>
      <c r="E66" s="3" t="s">
        <v>46</v>
      </c>
      <c r="F66" s="3" t="s">
        <v>439</v>
      </c>
      <c r="G66" s="3" t="s">
        <v>440</v>
      </c>
      <c r="H66" s="3" t="s">
        <v>441</v>
      </c>
      <c r="I66" s="6" t="s">
        <v>75</v>
      </c>
      <c r="J66" s="2" t="s">
        <v>20</v>
      </c>
      <c r="K66" s="2" t="s">
        <v>21</v>
      </c>
    </row>
    <row r="67" customFormat="false" ht="23.85" hidden="false" customHeight="false" outlineLevel="0" collapsed="false">
      <c r="A67" s="2" t="s">
        <v>442</v>
      </c>
      <c r="B67" s="2" t="s">
        <v>78</v>
      </c>
      <c r="C67" s="3" t="s">
        <v>65</v>
      </c>
      <c r="D67" s="3" t="s">
        <v>443</v>
      </c>
      <c r="E67" s="3" t="s">
        <v>46</v>
      </c>
      <c r="F67" s="3" t="s">
        <v>444</v>
      </c>
      <c r="G67" s="3" t="s">
        <v>445</v>
      </c>
      <c r="H67" s="3" t="s">
        <v>446</v>
      </c>
      <c r="I67" s="4" t="s">
        <v>19</v>
      </c>
      <c r="J67" s="2" t="s">
        <v>35</v>
      </c>
      <c r="K67" s="2" t="s">
        <v>21</v>
      </c>
    </row>
    <row r="68" customFormat="false" ht="23.85" hidden="false" customHeight="false" outlineLevel="0" collapsed="false">
      <c r="A68" s="2" t="s">
        <v>447</v>
      </c>
      <c r="B68" s="2" t="s">
        <v>78</v>
      </c>
      <c r="C68" s="3" t="s">
        <v>65</v>
      </c>
      <c r="D68" s="3" t="s">
        <v>448</v>
      </c>
      <c r="E68" s="3" t="s">
        <v>46</v>
      </c>
      <c r="F68" s="3" t="s">
        <v>449</v>
      </c>
      <c r="G68" s="3" t="s">
        <v>450</v>
      </c>
      <c r="H68" s="3" t="s">
        <v>451</v>
      </c>
      <c r="I68" s="5" t="s">
        <v>42</v>
      </c>
      <c r="J68" s="2" t="s">
        <v>35</v>
      </c>
      <c r="K68" s="2" t="s">
        <v>21</v>
      </c>
    </row>
    <row r="69" customFormat="false" ht="23.85" hidden="false" customHeight="false" outlineLevel="0" collapsed="false">
      <c r="A69" s="2" t="s">
        <v>452</v>
      </c>
      <c r="B69" s="2" t="s">
        <v>102</v>
      </c>
      <c r="C69" s="3" t="s">
        <v>65</v>
      </c>
      <c r="D69" s="3" t="s">
        <v>453</v>
      </c>
      <c r="E69" s="3" t="s">
        <v>454</v>
      </c>
      <c r="F69" s="3" t="s">
        <v>455</v>
      </c>
      <c r="G69" s="3" t="s">
        <v>456</v>
      </c>
      <c r="H69" s="3" t="s">
        <v>457</v>
      </c>
      <c r="I69" s="6" t="s">
        <v>75</v>
      </c>
      <c r="J69" s="2" t="s">
        <v>35</v>
      </c>
      <c r="K69" s="2" t="s">
        <v>21</v>
      </c>
    </row>
    <row r="70" customFormat="false" ht="23.85" hidden="false" customHeight="false" outlineLevel="0" collapsed="false">
      <c r="A70" s="2" t="s">
        <v>458</v>
      </c>
      <c r="B70" s="2" t="s">
        <v>115</v>
      </c>
      <c r="C70" s="3" t="s">
        <v>116</v>
      </c>
      <c r="D70" s="3" t="s">
        <v>459</v>
      </c>
      <c r="E70" s="3" t="s">
        <v>460</v>
      </c>
      <c r="F70" s="3" t="s">
        <v>461</v>
      </c>
      <c r="G70" s="3" t="s">
        <v>462</v>
      </c>
      <c r="H70" s="3" t="s">
        <v>463</v>
      </c>
      <c r="I70" s="6" t="s">
        <v>75</v>
      </c>
      <c r="J70" s="2" t="s">
        <v>20</v>
      </c>
      <c r="K70" s="2" t="s">
        <v>21</v>
      </c>
    </row>
    <row r="71" customFormat="false" ht="23.85" hidden="false" customHeight="false" outlineLevel="0" collapsed="false">
      <c r="A71" s="2" t="s">
        <v>464</v>
      </c>
      <c r="B71" s="2" t="s">
        <v>129</v>
      </c>
      <c r="C71" s="3" t="s">
        <v>116</v>
      </c>
      <c r="D71" s="3" t="s">
        <v>465</v>
      </c>
      <c r="E71" s="3" t="s">
        <v>466</v>
      </c>
      <c r="F71" s="3" t="s">
        <v>467</v>
      </c>
      <c r="G71" s="3" t="s">
        <v>468</v>
      </c>
      <c r="H71" s="3" t="s">
        <v>469</v>
      </c>
      <c r="I71" s="5" t="s">
        <v>42</v>
      </c>
      <c r="J71" s="2" t="s">
        <v>20</v>
      </c>
      <c r="K71" s="2" t="s">
        <v>21</v>
      </c>
    </row>
    <row r="72" customFormat="false" ht="23.85" hidden="false" customHeight="false" outlineLevel="0" collapsed="false">
      <c r="A72" s="2" t="s">
        <v>470</v>
      </c>
      <c r="B72" s="2" t="s">
        <v>140</v>
      </c>
      <c r="C72" s="3" t="s">
        <v>116</v>
      </c>
      <c r="D72" s="3" t="s">
        <v>471</v>
      </c>
      <c r="E72" s="3" t="s">
        <v>53</v>
      </c>
      <c r="F72" s="3" t="s">
        <v>472</v>
      </c>
      <c r="G72" s="3" t="s">
        <v>473</v>
      </c>
      <c r="H72" s="3" t="s">
        <v>474</v>
      </c>
      <c r="I72" s="6" t="s">
        <v>75</v>
      </c>
      <c r="J72" s="2" t="s">
        <v>35</v>
      </c>
      <c r="K72" s="2" t="s">
        <v>21</v>
      </c>
    </row>
    <row r="73" customFormat="false" ht="23.85" hidden="false" customHeight="false" outlineLevel="0" collapsed="false">
      <c r="A73" s="2" t="s">
        <v>475</v>
      </c>
      <c r="B73" s="2" t="s">
        <v>147</v>
      </c>
      <c r="C73" s="3" t="s">
        <v>116</v>
      </c>
      <c r="D73" s="3" t="s">
        <v>476</v>
      </c>
      <c r="E73" s="3" t="s">
        <v>477</v>
      </c>
      <c r="F73" s="3" t="s">
        <v>478</v>
      </c>
      <c r="G73" s="3" t="s">
        <v>151</v>
      </c>
      <c r="H73" s="3" t="s">
        <v>479</v>
      </c>
      <c r="I73" s="6" t="s">
        <v>75</v>
      </c>
      <c r="J73" s="2" t="s">
        <v>20</v>
      </c>
      <c r="K73" s="2" t="s">
        <v>21</v>
      </c>
    </row>
    <row r="74" customFormat="false" ht="23.85" hidden="false" customHeight="false" outlineLevel="0" collapsed="false">
      <c r="A74" s="2" t="s">
        <v>480</v>
      </c>
      <c r="B74" s="2" t="s">
        <v>154</v>
      </c>
      <c r="C74" s="3" t="s">
        <v>155</v>
      </c>
      <c r="D74" s="3" t="s">
        <v>481</v>
      </c>
      <c r="E74" s="3" t="s">
        <v>482</v>
      </c>
      <c r="F74" s="3" t="s">
        <v>483</v>
      </c>
      <c r="G74" s="3" t="s">
        <v>484</v>
      </c>
      <c r="H74" s="3" t="s">
        <v>485</v>
      </c>
      <c r="I74" s="5" t="s">
        <v>42</v>
      </c>
      <c r="J74" s="2" t="s">
        <v>20</v>
      </c>
      <c r="K74" s="2" t="s">
        <v>21</v>
      </c>
    </row>
    <row r="75" customFormat="false" ht="23.85" hidden="false" customHeight="false" outlineLevel="0" collapsed="false">
      <c r="A75" s="2" t="s">
        <v>486</v>
      </c>
      <c r="B75" s="2" t="s">
        <v>162</v>
      </c>
      <c r="C75" s="3" t="s">
        <v>155</v>
      </c>
      <c r="D75" s="3" t="s">
        <v>487</v>
      </c>
      <c r="E75" s="3" t="s">
        <v>488</v>
      </c>
      <c r="F75" s="3" t="s">
        <v>489</v>
      </c>
      <c r="G75" s="3" t="s">
        <v>490</v>
      </c>
      <c r="H75" s="3" t="s">
        <v>491</v>
      </c>
      <c r="I75" s="6" t="s">
        <v>75</v>
      </c>
      <c r="J75" s="2" t="s">
        <v>35</v>
      </c>
      <c r="K75" s="2" t="s">
        <v>21</v>
      </c>
    </row>
    <row r="76" customFormat="false" ht="23.85" hidden="false" customHeight="false" outlineLevel="0" collapsed="false">
      <c r="A76" s="2" t="s">
        <v>492</v>
      </c>
      <c r="B76" s="2" t="s">
        <v>182</v>
      </c>
      <c r="C76" s="3" t="s">
        <v>155</v>
      </c>
      <c r="D76" s="3" t="s">
        <v>493</v>
      </c>
      <c r="E76" s="3" t="s">
        <v>494</v>
      </c>
      <c r="F76" s="3" t="s">
        <v>495</v>
      </c>
      <c r="G76" s="3" t="s">
        <v>496</v>
      </c>
      <c r="H76" s="3" t="s">
        <v>497</v>
      </c>
      <c r="I76" s="6" t="s">
        <v>75</v>
      </c>
      <c r="J76" s="2" t="s">
        <v>20</v>
      </c>
      <c r="K76" s="2" t="s">
        <v>21</v>
      </c>
    </row>
    <row r="77" customFormat="false" ht="35.05" hidden="false" customHeight="false" outlineLevel="0" collapsed="false">
      <c r="A77" s="2" t="s">
        <v>498</v>
      </c>
      <c r="B77" s="2" t="s">
        <v>195</v>
      </c>
      <c r="C77" s="3" t="s">
        <v>155</v>
      </c>
      <c r="D77" s="3" t="s">
        <v>499</v>
      </c>
      <c r="E77" s="3" t="s">
        <v>500</v>
      </c>
      <c r="F77" s="3" t="s">
        <v>501</v>
      </c>
      <c r="G77" s="3" t="s">
        <v>502</v>
      </c>
      <c r="H77" s="3" t="s">
        <v>503</v>
      </c>
      <c r="I77" s="5" t="s">
        <v>42</v>
      </c>
      <c r="J77" s="2" t="s">
        <v>20</v>
      </c>
      <c r="K77" s="2" t="s">
        <v>21</v>
      </c>
    </row>
    <row r="78" customFormat="false" ht="23.85" hidden="false" customHeight="false" outlineLevel="0" collapsed="false">
      <c r="A78" s="2" t="s">
        <v>504</v>
      </c>
      <c r="B78" s="2" t="s">
        <v>209</v>
      </c>
      <c r="C78" s="3" t="s">
        <v>210</v>
      </c>
      <c r="D78" s="3" t="s">
        <v>505</v>
      </c>
      <c r="E78" s="3" t="s">
        <v>212</v>
      </c>
      <c r="F78" s="3" t="s">
        <v>506</v>
      </c>
      <c r="G78" s="3" t="s">
        <v>214</v>
      </c>
      <c r="H78" s="3" t="s">
        <v>507</v>
      </c>
      <c r="I78" s="5" t="s">
        <v>42</v>
      </c>
      <c r="J78" s="2" t="s">
        <v>35</v>
      </c>
      <c r="K78" s="2" t="s">
        <v>21</v>
      </c>
    </row>
    <row r="79" customFormat="false" ht="23.85" hidden="false" customHeight="false" outlineLevel="0" collapsed="false">
      <c r="A79" s="2" t="s">
        <v>508</v>
      </c>
      <c r="B79" s="2" t="s">
        <v>223</v>
      </c>
      <c r="C79" s="3" t="s">
        <v>210</v>
      </c>
      <c r="D79" s="3" t="s">
        <v>509</v>
      </c>
      <c r="E79" s="3" t="s">
        <v>510</v>
      </c>
      <c r="F79" s="3" t="s">
        <v>511</v>
      </c>
      <c r="G79" s="3" t="s">
        <v>512</v>
      </c>
      <c r="H79" s="3" t="s">
        <v>513</v>
      </c>
      <c r="I79" s="5" t="s">
        <v>42</v>
      </c>
      <c r="J79" s="2" t="s">
        <v>35</v>
      </c>
      <c r="K79" s="2" t="s">
        <v>21</v>
      </c>
    </row>
    <row r="80" customFormat="false" ht="23.85" hidden="false" customHeight="false" outlineLevel="0" collapsed="false">
      <c r="A80" s="2" t="s">
        <v>514</v>
      </c>
      <c r="B80" s="2" t="s">
        <v>236</v>
      </c>
      <c r="C80" s="3" t="s">
        <v>237</v>
      </c>
      <c r="D80" s="3" t="s">
        <v>515</v>
      </c>
      <c r="E80" s="3" t="s">
        <v>516</v>
      </c>
      <c r="F80" s="3" t="s">
        <v>517</v>
      </c>
      <c r="G80" s="3" t="s">
        <v>518</v>
      </c>
      <c r="H80" s="3" t="s">
        <v>519</v>
      </c>
      <c r="I80" s="5" t="s">
        <v>42</v>
      </c>
      <c r="J80" s="2" t="s">
        <v>35</v>
      </c>
      <c r="K80" s="2" t="s">
        <v>21</v>
      </c>
    </row>
    <row r="81" customFormat="false" ht="23.85" hidden="false" customHeight="false" outlineLevel="0" collapsed="false">
      <c r="A81" s="2" t="s">
        <v>520</v>
      </c>
      <c r="B81" s="2" t="s">
        <v>236</v>
      </c>
      <c r="C81" s="3" t="s">
        <v>237</v>
      </c>
      <c r="D81" s="3" t="s">
        <v>521</v>
      </c>
      <c r="E81" s="3" t="s">
        <v>516</v>
      </c>
      <c r="F81" s="3" t="s">
        <v>522</v>
      </c>
      <c r="G81" s="3" t="s">
        <v>523</v>
      </c>
      <c r="H81" s="3" t="s">
        <v>524</v>
      </c>
      <c r="I81" s="6" t="s">
        <v>75</v>
      </c>
      <c r="J81" s="2" t="s">
        <v>35</v>
      </c>
      <c r="K81" s="2" t="s">
        <v>21</v>
      </c>
    </row>
    <row r="82" customFormat="false" ht="35.05" hidden="false" customHeight="false" outlineLevel="0" collapsed="false">
      <c r="A82" s="2" t="s">
        <v>525</v>
      </c>
      <c r="B82" s="2" t="s">
        <v>244</v>
      </c>
      <c r="C82" s="3" t="s">
        <v>237</v>
      </c>
      <c r="D82" s="3" t="s">
        <v>526</v>
      </c>
      <c r="E82" s="3" t="s">
        <v>527</v>
      </c>
      <c r="F82" s="3" t="s">
        <v>528</v>
      </c>
      <c r="G82" s="3" t="s">
        <v>529</v>
      </c>
      <c r="H82" s="3" t="s">
        <v>530</v>
      </c>
      <c r="I82" s="6" t="s">
        <v>75</v>
      </c>
      <c r="J82" s="2" t="s">
        <v>20</v>
      </c>
      <c r="K82" s="2" t="s">
        <v>21</v>
      </c>
    </row>
    <row r="83" customFormat="false" ht="35.05" hidden="false" customHeight="false" outlineLevel="0" collapsed="false">
      <c r="A83" s="2" t="s">
        <v>531</v>
      </c>
      <c r="B83" s="2" t="s">
        <v>251</v>
      </c>
      <c r="C83" s="3" t="s">
        <v>237</v>
      </c>
      <c r="D83" s="3" t="s">
        <v>532</v>
      </c>
      <c r="E83" s="3" t="s">
        <v>533</v>
      </c>
      <c r="F83" s="3" t="s">
        <v>534</v>
      </c>
      <c r="G83" s="3" t="s">
        <v>535</v>
      </c>
      <c r="H83" s="3" t="s">
        <v>536</v>
      </c>
      <c r="I83" s="4" t="s">
        <v>19</v>
      </c>
      <c r="J83" s="2" t="s">
        <v>35</v>
      </c>
      <c r="K83" s="2" t="s">
        <v>21</v>
      </c>
    </row>
    <row r="84" customFormat="false" ht="35.05" hidden="false" customHeight="false" outlineLevel="0" collapsed="false">
      <c r="A84" s="2" t="s">
        <v>537</v>
      </c>
      <c r="B84" s="2" t="s">
        <v>264</v>
      </c>
      <c r="C84" s="3" t="s">
        <v>237</v>
      </c>
      <c r="D84" s="3" t="s">
        <v>538</v>
      </c>
      <c r="E84" s="3" t="s">
        <v>272</v>
      </c>
      <c r="F84" s="3" t="s">
        <v>539</v>
      </c>
      <c r="G84" s="3" t="s">
        <v>540</v>
      </c>
      <c r="H84" s="3" t="s">
        <v>541</v>
      </c>
      <c r="I84" s="5" t="s">
        <v>42</v>
      </c>
      <c r="J84" s="2" t="s">
        <v>20</v>
      </c>
      <c r="K84" s="2" t="s">
        <v>21</v>
      </c>
    </row>
    <row r="85" customFormat="false" ht="23.85" hidden="false" customHeight="false" outlineLevel="0" collapsed="false">
      <c r="A85" s="2" t="s">
        <v>542</v>
      </c>
      <c r="B85" s="2" t="s">
        <v>277</v>
      </c>
      <c r="C85" s="3" t="s">
        <v>237</v>
      </c>
      <c r="D85" s="3" t="s">
        <v>543</v>
      </c>
      <c r="E85" s="3" t="s">
        <v>544</v>
      </c>
      <c r="F85" s="3" t="s">
        <v>545</v>
      </c>
      <c r="G85" s="3" t="s">
        <v>546</v>
      </c>
      <c r="H85" s="3" t="s">
        <v>547</v>
      </c>
      <c r="I85" s="5" t="s">
        <v>42</v>
      </c>
      <c r="J85" s="2" t="s">
        <v>76</v>
      </c>
      <c r="K85" s="2" t="s">
        <v>21</v>
      </c>
    </row>
    <row r="86" customFormat="false" ht="23.85" hidden="false" customHeight="false" outlineLevel="0" collapsed="false">
      <c r="A86" s="2" t="s">
        <v>548</v>
      </c>
      <c r="B86" s="2" t="s">
        <v>309</v>
      </c>
      <c r="C86" s="3" t="s">
        <v>237</v>
      </c>
      <c r="D86" s="3" t="s">
        <v>549</v>
      </c>
      <c r="E86" s="3" t="s">
        <v>550</v>
      </c>
      <c r="F86" s="3" t="s">
        <v>551</v>
      </c>
      <c r="G86" s="3" t="s">
        <v>552</v>
      </c>
      <c r="H86" s="3" t="s">
        <v>553</v>
      </c>
      <c r="I86" s="6" t="s">
        <v>75</v>
      </c>
      <c r="J86" s="2" t="s">
        <v>20</v>
      </c>
      <c r="K86" s="2" t="s">
        <v>21</v>
      </c>
    </row>
    <row r="87" customFormat="false" ht="23.85" hidden="false" customHeight="false" outlineLevel="0" collapsed="false">
      <c r="A87" s="2" t="s">
        <v>554</v>
      </c>
      <c r="B87" s="2" t="s">
        <v>315</v>
      </c>
      <c r="C87" s="3" t="s">
        <v>316</v>
      </c>
      <c r="D87" s="3" t="s">
        <v>555</v>
      </c>
      <c r="E87" s="3" t="s">
        <v>556</v>
      </c>
      <c r="F87" s="3" t="s">
        <v>557</v>
      </c>
      <c r="G87" s="3" t="s">
        <v>558</v>
      </c>
      <c r="H87" s="3" t="s">
        <v>559</v>
      </c>
      <c r="I87" s="6" t="s">
        <v>75</v>
      </c>
      <c r="J87" s="2" t="s">
        <v>20</v>
      </c>
      <c r="K87" s="2" t="s">
        <v>21</v>
      </c>
    </row>
    <row r="88" customFormat="false" ht="23.85" hidden="false" customHeight="false" outlineLevel="0" collapsed="false">
      <c r="A88" s="2" t="s">
        <v>560</v>
      </c>
      <c r="B88" s="2" t="s">
        <v>323</v>
      </c>
      <c r="C88" s="3" t="s">
        <v>316</v>
      </c>
      <c r="D88" s="3" t="s">
        <v>561</v>
      </c>
      <c r="E88" s="3" t="s">
        <v>562</v>
      </c>
      <c r="F88" s="3" t="s">
        <v>563</v>
      </c>
      <c r="G88" s="3" t="s">
        <v>564</v>
      </c>
      <c r="H88" s="3" t="s">
        <v>565</v>
      </c>
      <c r="I88" s="6" t="s">
        <v>75</v>
      </c>
      <c r="J88" s="2" t="s">
        <v>35</v>
      </c>
      <c r="K88" s="2" t="s">
        <v>21</v>
      </c>
    </row>
    <row r="89" customFormat="false" ht="23.85" hidden="false" customHeight="false" outlineLevel="0" collapsed="false">
      <c r="A89" s="2" t="s">
        <v>566</v>
      </c>
      <c r="B89" s="2" t="s">
        <v>330</v>
      </c>
      <c r="C89" s="3" t="s">
        <v>316</v>
      </c>
      <c r="D89" s="3" t="s">
        <v>567</v>
      </c>
      <c r="E89" s="3" t="s">
        <v>568</v>
      </c>
      <c r="F89" s="3" t="s">
        <v>569</v>
      </c>
      <c r="G89" s="3" t="s">
        <v>570</v>
      </c>
      <c r="H89" s="3" t="s">
        <v>571</v>
      </c>
      <c r="I89" s="7" t="s">
        <v>572</v>
      </c>
      <c r="J89" s="2" t="s">
        <v>20</v>
      </c>
      <c r="K89" s="2" t="s">
        <v>21</v>
      </c>
    </row>
    <row r="90" customFormat="false" ht="23.85" hidden="false" customHeight="false" outlineLevel="0" collapsed="false">
      <c r="A90" s="2" t="s">
        <v>573</v>
      </c>
      <c r="B90" s="2" t="s">
        <v>344</v>
      </c>
      <c r="C90" s="3" t="s">
        <v>345</v>
      </c>
      <c r="D90" s="3" t="s">
        <v>574</v>
      </c>
      <c r="E90" s="3" t="s">
        <v>360</v>
      </c>
      <c r="F90" s="3" t="s">
        <v>575</v>
      </c>
      <c r="G90" s="3" t="s">
        <v>576</v>
      </c>
      <c r="H90" s="3" t="s">
        <v>577</v>
      </c>
      <c r="I90" s="5" t="s">
        <v>42</v>
      </c>
      <c r="J90" s="2" t="s">
        <v>20</v>
      </c>
      <c r="K90" s="2" t="s">
        <v>21</v>
      </c>
    </row>
    <row r="91" customFormat="false" ht="23.85" hidden="false" customHeight="false" outlineLevel="0" collapsed="false">
      <c r="A91" s="2" t="s">
        <v>578</v>
      </c>
      <c r="B91" s="2" t="s">
        <v>358</v>
      </c>
      <c r="C91" s="3" t="s">
        <v>345</v>
      </c>
      <c r="D91" s="3" t="s">
        <v>579</v>
      </c>
      <c r="E91" s="3" t="s">
        <v>580</v>
      </c>
      <c r="F91" s="3" t="s">
        <v>581</v>
      </c>
      <c r="G91" s="3" t="s">
        <v>582</v>
      </c>
      <c r="H91" s="3" t="s">
        <v>583</v>
      </c>
      <c r="I91" s="5" t="s">
        <v>42</v>
      </c>
      <c r="J91" s="2" t="s">
        <v>35</v>
      </c>
      <c r="K91" s="2" t="s">
        <v>21</v>
      </c>
    </row>
    <row r="92" customFormat="false" ht="23.85" hidden="false" customHeight="false" outlineLevel="0" collapsed="false">
      <c r="A92" s="2" t="s">
        <v>584</v>
      </c>
      <c r="B92" s="2" t="s">
        <v>358</v>
      </c>
      <c r="C92" s="3" t="s">
        <v>345</v>
      </c>
      <c r="D92" s="3" t="s">
        <v>585</v>
      </c>
      <c r="E92" s="3" t="s">
        <v>586</v>
      </c>
      <c r="F92" s="3" t="s">
        <v>587</v>
      </c>
      <c r="G92" s="3" t="s">
        <v>588</v>
      </c>
      <c r="H92" s="3" t="s">
        <v>589</v>
      </c>
      <c r="I92" s="5" t="s">
        <v>42</v>
      </c>
      <c r="J92" s="2" t="s">
        <v>35</v>
      </c>
      <c r="K92" s="2" t="s">
        <v>21</v>
      </c>
    </row>
    <row r="93" customFormat="false" ht="23.85" hidden="false" customHeight="false" outlineLevel="0" collapsed="false">
      <c r="A93" s="2" t="s">
        <v>590</v>
      </c>
      <c r="B93" s="2" t="s">
        <v>370</v>
      </c>
      <c r="C93" s="3" t="s">
        <v>345</v>
      </c>
      <c r="D93" s="3" t="s">
        <v>591</v>
      </c>
      <c r="E93" s="3" t="s">
        <v>347</v>
      </c>
      <c r="F93" s="3" t="s">
        <v>592</v>
      </c>
      <c r="G93" s="3" t="s">
        <v>380</v>
      </c>
      <c r="H93" s="3" t="s">
        <v>593</v>
      </c>
      <c r="I93" s="5" t="s">
        <v>42</v>
      </c>
      <c r="J93" s="2" t="s">
        <v>35</v>
      </c>
      <c r="K93" s="2" t="s">
        <v>21</v>
      </c>
    </row>
    <row r="94" customFormat="false" ht="23.85" hidden="false" customHeight="false" outlineLevel="0" collapsed="false">
      <c r="A94" s="2" t="s">
        <v>594</v>
      </c>
      <c r="B94" s="2" t="s">
        <v>383</v>
      </c>
      <c r="C94" s="3" t="s">
        <v>345</v>
      </c>
      <c r="D94" s="3" t="s">
        <v>595</v>
      </c>
      <c r="E94" s="3" t="s">
        <v>596</v>
      </c>
      <c r="F94" s="3" t="s">
        <v>597</v>
      </c>
      <c r="G94" s="3" t="s">
        <v>598</v>
      </c>
      <c r="H94" s="3" t="s">
        <v>599</v>
      </c>
      <c r="I94" s="6" t="s">
        <v>75</v>
      </c>
      <c r="J94" s="2" t="s">
        <v>20</v>
      </c>
      <c r="K94" s="2" t="s">
        <v>21</v>
      </c>
    </row>
    <row r="95" customFormat="false" ht="23.85" hidden="false" customHeight="false" outlineLevel="0" collapsed="false">
      <c r="A95" s="2" t="s">
        <v>600</v>
      </c>
      <c r="B95" s="2" t="s">
        <v>396</v>
      </c>
      <c r="C95" s="3" t="s">
        <v>397</v>
      </c>
      <c r="D95" s="3" t="s">
        <v>601</v>
      </c>
      <c r="E95" s="3" t="s">
        <v>602</v>
      </c>
      <c r="F95" s="3" t="s">
        <v>603</v>
      </c>
      <c r="G95" s="3" t="s">
        <v>604</v>
      </c>
      <c r="H95" s="3" t="s">
        <v>605</v>
      </c>
      <c r="I95" s="5" t="s">
        <v>42</v>
      </c>
      <c r="J95" s="2" t="s">
        <v>20</v>
      </c>
      <c r="K95" s="2" t="s">
        <v>21</v>
      </c>
    </row>
    <row r="96" customFormat="false" ht="35.05" hidden="false" customHeight="false" outlineLevel="0" collapsed="false">
      <c r="A96" s="2" t="s">
        <v>606</v>
      </c>
      <c r="B96" s="2" t="s">
        <v>408</v>
      </c>
      <c r="C96" s="3" t="s">
        <v>397</v>
      </c>
      <c r="D96" s="3" t="s">
        <v>607</v>
      </c>
      <c r="E96" s="3" t="s">
        <v>608</v>
      </c>
      <c r="F96" s="3" t="s">
        <v>609</v>
      </c>
      <c r="G96" s="3" t="s">
        <v>610</v>
      </c>
      <c r="H96" s="3" t="s">
        <v>611</v>
      </c>
      <c r="I96" s="4" t="s">
        <v>19</v>
      </c>
      <c r="J96" s="2" t="s">
        <v>35</v>
      </c>
      <c r="K96" s="2" t="s">
        <v>21</v>
      </c>
    </row>
    <row r="97" customFormat="false" ht="35.05" hidden="false" customHeight="false" outlineLevel="0" collapsed="false">
      <c r="A97" s="2" t="s">
        <v>612</v>
      </c>
      <c r="B97" s="2" t="s">
        <v>415</v>
      </c>
      <c r="C97" s="3" t="s">
        <v>397</v>
      </c>
      <c r="D97" s="3" t="s">
        <v>613</v>
      </c>
      <c r="E97" s="3" t="s">
        <v>614</v>
      </c>
      <c r="F97" s="3" t="s">
        <v>615</v>
      </c>
      <c r="G97" s="3" t="s">
        <v>616</v>
      </c>
      <c r="H97" s="3" t="s">
        <v>617</v>
      </c>
      <c r="I97" s="5" t="s">
        <v>42</v>
      </c>
      <c r="J97" s="2" t="s">
        <v>20</v>
      </c>
      <c r="K97" s="2" t="s">
        <v>21</v>
      </c>
    </row>
    <row r="98" customFormat="false" ht="35.05" hidden="false" customHeight="false" outlineLevel="0" collapsed="false">
      <c r="A98" s="2" t="s">
        <v>618</v>
      </c>
      <c r="B98" s="2" t="s">
        <v>51</v>
      </c>
      <c r="C98" s="3" t="s">
        <v>13</v>
      </c>
      <c r="D98" s="3" t="s">
        <v>619</v>
      </c>
      <c r="E98" s="3" t="s">
        <v>620</v>
      </c>
      <c r="F98" s="3" t="s">
        <v>621</v>
      </c>
      <c r="G98" s="3" t="s">
        <v>622</v>
      </c>
      <c r="H98" s="3" t="s">
        <v>623</v>
      </c>
      <c r="I98" s="7" t="s">
        <v>572</v>
      </c>
      <c r="J98" s="2" t="s">
        <v>20</v>
      </c>
      <c r="K98" s="2" t="s">
        <v>21</v>
      </c>
    </row>
    <row r="99" customFormat="false" ht="23.85" hidden="false" customHeight="false" outlineLevel="0" collapsed="false">
      <c r="A99" s="2" t="s">
        <v>624</v>
      </c>
      <c r="B99" s="2" t="s">
        <v>89</v>
      </c>
      <c r="C99" s="3" t="s">
        <v>65</v>
      </c>
      <c r="D99" s="3" t="s">
        <v>625</v>
      </c>
      <c r="E99" s="3" t="s">
        <v>626</v>
      </c>
      <c r="F99" s="3" t="s">
        <v>627</v>
      </c>
      <c r="G99" s="3" t="s">
        <v>628</v>
      </c>
      <c r="H99" s="3" t="s">
        <v>629</v>
      </c>
      <c r="I99" s="7" t="s">
        <v>572</v>
      </c>
      <c r="J99" s="2" t="s">
        <v>20</v>
      </c>
      <c r="K99" s="2" t="s">
        <v>21</v>
      </c>
    </row>
    <row r="100" customFormat="false" ht="35.05" hidden="false" customHeight="false" outlineLevel="0" collapsed="false">
      <c r="A100" s="2" t="s">
        <v>630</v>
      </c>
      <c r="B100" s="2" t="s">
        <v>169</v>
      </c>
      <c r="C100" s="3" t="s">
        <v>155</v>
      </c>
      <c r="D100" s="3" t="s">
        <v>631</v>
      </c>
      <c r="E100" s="3" t="s">
        <v>632</v>
      </c>
      <c r="F100" s="3" t="s">
        <v>633</v>
      </c>
      <c r="G100" s="3" t="s">
        <v>634</v>
      </c>
      <c r="H100" s="3" t="s">
        <v>635</v>
      </c>
      <c r="I100" s="5" t="s">
        <v>42</v>
      </c>
      <c r="J100" s="2" t="s">
        <v>76</v>
      </c>
      <c r="K100" s="2" t="s">
        <v>21</v>
      </c>
    </row>
    <row r="101" customFormat="false" ht="35.05" hidden="false" customHeight="false" outlineLevel="0" collapsed="false">
      <c r="A101" s="2" t="s">
        <v>636</v>
      </c>
      <c r="B101" s="2" t="s">
        <v>289</v>
      </c>
      <c r="C101" s="3" t="s">
        <v>237</v>
      </c>
      <c r="D101" s="3" t="s">
        <v>637</v>
      </c>
      <c r="E101" s="3" t="s">
        <v>638</v>
      </c>
      <c r="F101" s="3" t="s">
        <v>639</v>
      </c>
      <c r="G101" s="3" t="s">
        <v>640</v>
      </c>
      <c r="H101" s="3" t="s">
        <v>641</v>
      </c>
      <c r="I101" s="6" t="s">
        <v>75</v>
      </c>
      <c r="J101" s="2" t="s">
        <v>20</v>
      </c>
      <c r="K101" s="2" t="s">
        <v>21</v>
      </c>
    </row>
    <row r="102" customFormat="false" ht="23.85" hidden="false" customHeight="false" outlineLevel="0" collapsed="false">
      <c r="A102" s="2" t="s">
        <v>642</v>
      </c>
      <c r="B102" s="2" t="s">
        <v>337</v>
      </c>
      <c r="C102" s="3" t="s">
        <v>316</v>
      </c>
      <c r="D102" s="3" t="s">
        <v>643</v>
      </c>
      <c r="E102" s="3" t="s">
        <v>644</v>
      </c>
      <c r="F102" s="3" t="s">
        <v>645</v>
      </c>
      <c r="G102" s="3" t="s">
        <v>646</v>
      </c>
      <c r="H102" s="3" t="s">
        <v>647</v>
      </c>
      <c r="I102" s="6" t="s">
        <v>75</v>
      </c>
      <c r="J102" s="2" t="s">
        <v>76</v>
      </c>
      <c r="K102" s="2" t="s">
        <v>21</v>
      </c>
    </row>
  </sheetData>
  <autoFilter ref="A1:K10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8" t="s">
        <v>648</v>
      </c>
      <c r="B1" s="8"/>
      <c r="C1" s="8"/>
    </row>
    <row r="3" customFormat="false" ht="15" hidden="false" customHeight="false" outlineLevel="0" collapsed="false">
      <c r="A3" s="9" t="s">
        <v>649</v>
      </c>
      <c r="B3" s="9" t="n">
        <f aca="false">COUNTA('Test Cases'!A2:A1000)</f>
        <v>101</v>
      </c>
    </row>
    <row r="5" customFormat="false" ht="15" hidden="false" customHeight="false" outlineLevel="0" collapsed="false">
      <c r="A5" s="10" t="s">
        <v>650</v>
      </c>
    </row>
    <row r="6" customFormat="false" ht="15" hidden="false" customHeight="false" outlineLevel="0" collapsed="false">
      <c r="A6" s="9" t="s">
        <v>19</v>
      </c>
      <c r="B6" s="9" t="n">
        <f aca="false">COUNTIF('Test Cases'!I2:I1000,"P1")</f>
        <v>38</v>
      </c>
    </row>
    <row r="7" customFormat="false" ht="15" hidden="false" customHeight="false" outlineLevel="0" collapsed="false">
      <c r="A7" s="9" t="s">
        <v>42</v>
      </c>
      <c r="B7" s="9" t="n">
        <f aca="false">COUNTIF('Test Cases'!I2:I1000,"P2")</f>
        <v>42</v>
      </c>
    </row>
    <row r="8" customFormat="false" ht="15" hidden="false" customHeight="false" outlineLevel="0" collapsed="false">
      <c r="A8" s="9" t="s">
        <v>75</v>
      </c>
      <c r="B8" s="9" t="n">
        <f aca="false">COUNTIF('Test Cases'!I2:I1000,"P3")</f>
        <v>18</v>
      </c>
    </row>
    <row r="9" customFormat="false" ht="15" hidden="false" customHeight="false" outlineLevel="0" collapsed="false">
      <c r="A9" s="9" t="s">
        <v>572</v>
      </c>
      <c r="B9" s="9" t="n">
        <f aca="false">COUNTIF('Test Cases'!I2:I1000,"P4")</f>
        <v>3</v>
      </c>
    </row>
    <row r="11" customFormat="false" ht="15" hidden="false" customHeight="false" outlineLevel="0" collapsed="false">
      <c r="A11" s="10" t="s">
        <v>651</v>
      </c>
    </row>
    <row r="12" customFormat="false" ht="15" hidden="false" customHeight="false" outlineLevel="0" collapsed="false">
      <c r="A12" s="9" t="s">
        <v>20</v>
      </c>
      <c r="B12" s="9" t="n">
        <f aca="false">COUNTIF('Test Cases'!J2:J1000,"Positive")</f>
        <v>48</v>
      </c>
    </row>
    <row r="13" customFormat="false" ht="15" hidden="false" customHeight="false" outlineLevel="0" collapsed="false">
      <c r="A13" s="9" t="s">
        <v>35</v>
      </c>
      <c r="B13" s="9" t="n">
        <f aca="false">COUNTIF('Test Cases'!J2:J1000,"Negative")</f>
        <v>45</v>
      </c>
    </row>
    <row r="14" customFormat="false" ht="15" hidden="false" customHeight="false" outlineLevel="0" collapsed="false">
      <c r="A14" s="9" t="s">
        <v>76</v>
      </c>
      <c r="B14" s="9" t="n">
        <f aca="false">COUNTIF('Test Cases'!J2:J1000,"Boundary")</f>
        <v>8</v>
      </c>
    </row>
    <row r="16" customFormat="false" ht="15" hidden="false" customHeight="false" outlineLevel="0" collapsed="false">
      <c r="A16" s="10" t="s">
        <v>652</v>
      </c>
    </row>
    <row r="17" customFormat="false" ht="15" hidden="false" customHeight="false" outlineLevel="0" collapsed="false">
      <c r="A17" s="9" t="s">
        <v>21</v>
      </c>
      <c r="B17" s="9" t="n">
        <f aca="false">COUNTIF('Test Cases'!K2:K1000,"Not Executed")</f>
        <v>101</v>
      </c>
    </row>
    <row r="18" customFormat="false" ht="15" hidden="false" customHeight="false" outlineLevel="0" collapsed="false">
      <c r="A18" s="9" t="s">
        <v>653</v>
      </c>
      <c r="B18" s="9" t="n">
        <f aca="false">COUNTIF('Test Cases'!K2:K1000,"Pass")</f>
        <v>0</v>
      </c>
    </row>
    <row r="19" customFormat="false" ht="15" hidden="false" customHeight="false" outlineLevel="0" collapsed="false">
      <c r="A19" s="9" t="s">
        <v>654</v>
      </c>
      <c r="B19" s="9" t="n">
        <f aca="false">COUNTIF('Test Cases'!K2:K1000,"Fail")</f>
        <v>0</v>
      </c>
    </row>
    <row r="20" customFormat="false" ht="15" hidden="false" customHeight="false" outlineLevel="0" collapsed="false">
      <c r="A20" s="9" t="s">
        <v>655</v>
      </c>
      <c r="B20" s="9" t="n">
        <f aca="false">COUNTIF('Test Cases'!K2:K1000,"Blocked")</f>
        <v>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2026-08-01T20:23:46Z</dcterms:created>
  <dc:creator>openpyxl</dc:creator>
  <dc:description/>
  <dc:language>en-US</dc:language>
  <cp:lastModifiedBy/>
  <dcterms:modified xsi:type="dcterms:W3CDTF">2026-08-01T20:23:46Z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