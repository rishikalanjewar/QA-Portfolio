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Metrics" sheetId="1" state="visible" r:id="rId3"/>
    <sheet name="Summary" sheetId="2" state="visible" r:id="rId4"/>
  </sheets>
  <definedNames>
    <definedName function="false" hidden="true" localSheetId="0" name="_xlnm._FilterDatabase" vbProcedure="false">'Bug Metrics'!$A$1:$G$7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<sst xmlns="http://schemas.openxmlformats.org/spreadsheetml/2006/main" count="61" uniqueCount="46">
  <si>
    <t xml:space="preserve">Bug ID</t>
  </si>
  <si>
    <t xml:space="preserve">Title</t>
  </si>
  <si>
    <t xml:space="preserve">Module</t>
  </si>
  <si>
    <t xml:space="preserve">Severity</t>
  </si>
  <si>
    <t xml:space="preserve">Priority</t>
  </si>
  <si>
    <t xml:space="preserve">Found Via</t>
  </si>
  <si>
    <t xml:space="preserve">Status</t>
  </si>
  <si>
    <t xml:space="preserve">BUG-001</t>
  </si>
  <si>
    <t xml:space="preserve">Missing role-based access control</t>
  </si>
  <si>
    <t xml:space="preserve">Authentication/RBAC</t>
  </si>
  <si>
    <t xml:space="preserve">High</t>
  </si>
  <si>
    <t xml:space="preserve">P1</t>
  </si>
  <si>
    <t xml:space="preserve">Manual exploratory testing</t>
  </si>
  <si>
    <t xml:space="preserve">Closed</t>
  </si>
  <si>
    <t xml:space="preserve">BUG-002</t>
  </si>
  <si>
    <t xml:space="preserve">Low-stock alert boundary error (stock=threshold)</t>
  </si>
  <si>
    <t xml:space="preserve">Inventory Management</t>
  </si>
  <si>
    <t xml:space="preserve">Medium</t>
  </si>
  <si>
    <t xml:space="preserve">P2</t>
  </si>
  <si>
    <t xml:space="preserve">UI execution checklist (H2)</t>
  </si>
  <si>
    <t xml:space="preserve">New</t>
  </si>
  <si>
    <t xml:space="preserve">BUG-003</t>
  </si>
  <si>
    <t xml:space="preserve">Orders Today metric not date-filtered</t>
  </si>
  <si>
    <t xml:space="preserve">Reporting Dashboard</t>
  </si>
  <si>
    <t xml:space="preserve">UI execution checklist</t>
  </si>
  <si>
    <t xml:space="preserve">BUG-DB-01</t>
  </si>
  <si>
    <t xml:space="preserve">Expired medication dispensed</t>
  </si>
  <si>
    <t xml:space="preserve">Inventory/Database</t>
  </si>
  <si>
    <t xml:space="preserve">SQL validation query 2.2</t>
  </si>
  <si>
    <t xml:space="preserve">BUG-DB-02</t>
  </si>
  <si>
    <t xml:space="preserve">Low-confidence vision result marked Verified</t>
  </si>
  <si>
    <t xml:space="preserve">AI Vision Verification</t>
  </si>
  <si>
    <t xml:space="preserve">Critical</t>
  </si>
  <si>
    <t xml:space="preserve">SQL validation query 2.3</t>
  </si>
  <si>
    <t xml:space="preserve">BUG-DB-03</t>
  </si>
  <si>
    <t xml:space="preserve">Orphaned dispensing_log record</t>
  </si>
  <si>
    <t xml:space="preserve">Database Integrity</t>
  </si>
  <si>
    <t xml:space="preserve">Low</t>
  </si>
  <si>
    <t xml:space="preserve">P3</t>
  </si>
  <si>
    <t xml:space="preserve">SQL validation query 2.4</t>
  </si>
  <si>
    <t xml:space="preserve">Bug Metrics Summary</t>
  </si>
  <si>
    <t xml:space="preserve">Total Bugs Found</t>
  </si>
  <si>
    <t xml:space="preserve">By Severity</t>
  </si>
  <si>
    <t xml:space="preserve">By Status</t>
  </si>
  <si>
    <t xml:space="preserve">Open</t>
  </si>
  <si>
    <t xml:space="preserve">Fixed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</si>
</sst>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17</v>
      </c>
      <c r="E4" s="2" t="s">
        <v>18</v>
      </c>
      <c r="F4" s="2" t="s">
        <v>24</v>
      </c>
      <c r="G4" s="2" t="s">
        <v>20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10</v>
      </c>
      <c r="E5" s="2" t="s">
        <v>11</v>
      </c>
      <c r="F5" s="2" t="s">
        <v>28</v>
      </c>
      <c r="G5" s="2" t="s">
        <v>20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33</v>
      </c>
      <c r="G6" s="2" t="s">
        <v>20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20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3" t="s">
        <v>40</v>
      </c>
    </row>
    <row r="3" customFormat="false" ht="15" hidden="false" customHeight="false" outlineLevel="0" collapsed="false">
      <c r="A3" s="0" t="s">
        <v>41</v>
      </c>
      <c r="B3" s="0" t="n">
        <f aca="false">COUNTA('Bug Metrics'!A2:A100)</f>
        <v>6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32</v>
      </c>
      <c r="B6" s="0" t="n">
        <f aca="false">COUNTIF('Bug Metrics'!D2:D100,"Critical")</f>
        <v>1</v>
      </c>
    </row>
    <row r="7" customFormat="false" ht="15" hidden="false" customHeight="false" outlineLevel="0" collapsed="false">
      <c r="A7" s="0" t="s">
        <v>10</v>
      </c>
      <c r="B7" s="0" t="n">
        <f aca="false">COUNTIF('Bug Metrics'!D2:D100,"High")</f>
        <v>2</v>
      </c>
    </row>
    <row r="8" customFormat="false" ht="15" hidden="false" customHeight="false" outlineLevel="0" collapsed="false">
      <c r="A8" s="0" t="s">
        <v>17</v>
      </c>
      <c r="B8" s="0" t="n">
        <f aca="false">COUNTIF('Bug Metrics'!D2:D100,"Medium")</f>
        <v>2</v>
      </c>
    </row>
    <row r="9" customFormat="false" ht="15" hidden="false" customHeight="false" outlineLevel="0" collapsed="false">
      <c r="A9" s="0" t="s">
        <v>37</v>
      </c>
      <c r="B9" s="0" t="n">
        <f aca="false">COUNTIF('Bug Metrics'!D2:D100,"Low")</f>
        <v>1</v>
      </c>
    </row>
    <row r="11" customFormat="false" ht="15" hidden="false" customHeight="false" outlineLevel="0" collapsed="false">
      <c r="A11" s="0" t="s">
        <v>43</v>
      </c>
    </row>
    <row r="12" customFormat="false" ht="15" hidden="false" customHeight="false" outlineLevel="0" collapsed="false">
      <c r="A12" s="0" t="s">
        <v>20</v>
      </c>
      <c r="B12" s="0" t="n">
        <f aca="false">COUNTIF('Bug Metrics'!G2:G100,"New")</f>
        <v>5</v>
      </c>
    </row>
    <row r="13" customFormat="false" ht="15" hidden="false" customHeight="false" outlineLevel="0" collapsed="false">
      <c r="A13" s="0" t="s">
        <v>44</v>
      </c>
      <c r="B13" s="0" t="n">
        <f aca="false">COUNTIF('Bug Metrics'!G2:G100,"Open")</f>
        <v>0</v>
      </c>
    </row>
    <row r="14" customFormat="false" ht="15" hidden="false" customHeight="false" outlineLevel="0" collapsed="false">
      <c r="A14" s="0" t="s">
        <v>45</v>
      </c>
      <c r="B14" s="0" t="n">
        <f aca="false">COUNTIF('Bug Metrics'!G2:G100,"Fixed")</f>
        <v>0</v>
      </c>
    </row>
    <row r="15" customFormat="false" ht="15" hidden="false" customHeight="false" outlineLevel="0" collapsed="false">
      <c r="A15" s="0" t="s">
        <v>13</v>
      </c>
      <c r="B15" s="0" t="n">
        <f aca="false">COUNTIF('Bug Metrics'!G2:G100,"Closed")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2026-08-15T16:02:12Z</dcterms:created>
  <dc:creator>openpyxl</dc:creator>
  <dc:description/>
  <dc:language>en-US</dc:language>
  <cp:lastModifiedBy/>
  <dcterms:modified xsi:type="dcterms:W3CDTF">2026-08-15T16:02:12Z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